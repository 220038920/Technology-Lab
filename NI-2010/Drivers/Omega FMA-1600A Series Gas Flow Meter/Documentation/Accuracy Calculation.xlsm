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xl/charts/colors1.xml" ContentType="application/vnd.ms-office.chartcolorstyle+xml"/>
  <Override PartName="/xl/charts/style1.xml" ContentType="application/vnd.ms-office.chartstyle+xml"/>
  <Override PartName="/xl/charts/colors2.xml" ContentType="application/vnd.ms-office.chartcolorstyle+xml"/>
  <Override PartName="/xl/charts/style2.xml" ContentType="application/vnd.ms-office.chartstyle+xml"/>
  <Override PartName="/xl/charts/colors3.xml" ContentType="application/vnd.ms-office.chartcolorstyle+xml"/>
  <Override PartName="/xl/charts/style3.xml" ContentType="application/vnd.ms-office.chartstyle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6" rupBuild="9303"/>
  <workbookPr/>
  <bookViews>
    <workbookView xWindow="0" yWindow="0" windowWidth="28800" windowHeight="11535"/>
  </bookViews>
  <sheets>
    <sheet name="Sheet1" sheetId="1" r:id="rId1"/>
  </sheets>
  <calcPr calcId="14562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G7" i="1" l="1"/>
  <c r="C7" i="1"/>
  <c r="B12" i="1" l="1"/>
  <c r="C12" i="1" s="1"/>
  <c r="B13" i="1"/>
  <c r="C13" i="1" s="1"/>
  <c r="B14" i="1"/>
  <c r="C14" i="1" s="1"/>
  <c r="B15" i="1"/>
  <c r="C15" i="1" s="1"/>
  <c r="B16" i="1"/>
  <c r="C16" i="1" s="1"/>
  <c r="B17" i="1"/>
  <c r="C17" i="1" s="1"/>
  <c r="B18" i="1"/>
  <c r="C18" i="1" s="1"/>
  <c r="B19" i="1"/>
  <c r="C19" i="1" s="1"/>
  <c r="B20" i="1"/>
  <c r="C20" i="1" s="1"/>
  <c r="B21" i="1"/>
  <c r="C21" i="1" s="1"/>
  <c r="B22" i="1"/>
  <c r="C22" i="1" s="1"/>
  <c r="B23" i="1"/>
  <c r="C23" i="1" s="1"/>
  <c r="B24" i="1"/>
  <c r="C24" i="1" s="1"/>
  <c r="B25" i="1"/>
  <c r="C25" i="1" s="1"/>
  <c r="B26" i="1"/>
  <c r="C26" i="1" s="1"/>
  <c r="B27" i="1"/>
  <c r="C27" i="1" s="1"/>
  <c r="E27" i="1" s="1"/>
  <c r="B28" i="1"/>
  <c r="C28" i="1" s="1"/>
  <c r="B29" i="1"/>
  <c r="C29" i="1" s="1"/>
  <c r="B30" i="1"/>
  <c r="C30" i="1" s="1"/>
  <c r="B31" i="1"/>
  <c r="C31" i="1" s="1"/>
  <c r="B32" i="1"/>
  <c r="C32" i="1" s="1"/>
  <c r="B33" i="1"/>
  <c r="C33" i="1" s="1"/>
  <c r="B34" i="1"/>
  <c r="C34" i="1" s="1"/>
  <c r="B35" i="1"/>
  <c r="C35" i="1" s="1"/>
  <c r="B36" i="1"/>
  <c r="C36" i="1" s="1"/>
  <c r="B37" i="1"/>
  <c r="C37" i="1" s="1"/>
  <c r="B38" i="1"/>
  <c r="C38" i="1" s="1"/>
  <c r="B39" i="1"/>
  <c r="C39" i="1" s="1"/>
  <c r="B40" i="1"/>
  <c r="C40" i="1" s="1"/>
  <c r="E40" i="1" s="1"/>
  <c r="B41" i="1"/>
  <c r="C41" i="1" s="1"/>
  <c r="B42" i="1"/>
  <c r="C42" i="1" s="1"/>
  <c r="B43" i="1"/>
  <c r="C43" i="1" s="1"/>
  <c r="B44" i="1"/>
  <c r="C44" i="1" s="1"/>
  <c r="B45" i="1"/>
  <c r="C45" i="1" s="1"/>
  <c r="B46" i="1"/>
  <c r="C46" i="1" s="1"/>
  <c r="B47" i="1"/>
  <c r="C47" i="1" s="1"/>
  <c r="B48" i="1"/>
  <c r="C48" i="1" s="1"/>
  <c r="B49" i="1"/>
  <c r="C49" i="1" s="1"/>
  <c r="B50" i="1"/>
  <c r="C50" i="1" s="1"/>
  <c r="B51" i="1"/>
  <c r="C51" i="1" s="1"/>
  <c r="B52" i="1"/>
  <c r="C52" i="1" s="1"/>
  <c r="B53" i="1"/>
  <c r="C53" i="1" s="1"/>
  <c r="B54" i="1"/>
  <c r="C54" i="1" s="1"/>
  <c r="B55" i="1"/>
  <c r="C55" i="1" s="1"/>
  <c r="B56" i="1"/>
  <c r="C56" i="1" s="1"/>
  <c r="E56" i="1" s="1"/>
  <c r="B57" i="1"/>
  <c r="C57" i="1" s="1"/>
  <c r="B58" i="1"/>
  <c r="C58" i="1" s="1"/>
  <c r="E58" i="1" s="1"/>
  <c r="B59" i="1"/>
  <c r="C59" i="1" s="1"/>
  <c r="B60" i="1"/>
  <c r="C60" i="1" s="1"/>
  <c r="B61" i="1"/>
  <c r="C61" i="1" s="1"/>
  <c r="B62" i="1"/>
  <c r="C62" i="1" s="1"/>
  <c r="B63" i="1"/>
  <c r="C63" i="1" s="1"/>
  <c r="B64" i="1"/>
  <c r="C64" i="1" s="1"/>
  <c r="E64" i="1" s="1"/>
  <c r="B65" i="1"/>
  <c r="C65" i="1" s="1"/>
  <c r="B66" i="1"/>
  <c r="C66" i="1" s="1"/>
  <c r="B67" i="1"/>
  <c r="C67" i="1" s="1"/>
  <c r="B68" i="1"/>
  <c r="C68" i="1" s="1"/>
  <c r="B69" i="1"/>
  <c r="C69" i="1" s="1"/>
  <c r="B70" i="1"/>
  <c r="C70" i="1" s="1"/>
  <c r="B71" i="1"/>
  <c r="C71" i="1" s="1"/>
  <c r="B72" i="1"/>
  <c r="C72" i="1" s="1"/>
  <c r="B73" i="1"/>
  <c r="C73" i="1" s="1"/>
  <c r="B74" i="1"/>
  <c r="C74" i="1" s="1"/>
  <c r="B75" i="1"/>
  <c r="C75" i="1" s="1"/>
  <c r="B76" i="1"/>
  <c r="C76" i="1" s="1"/>
  <c r="B77" i="1"/>
  <c r="C77" i="1" s="1"/>
  <c r="B78" i="1"/>
  <c r="C78" i="1" s="1"/>
  <c r="E78" i="1" s="1"/>
  <c r="B79" i="1"/>
  <c r="C79" i="1" s="1"/>
  <c r="B80" i="1"/>
  <c r="C80" i="1" s="1"/>
  <c r="E80" i="1" s="1"/>
  <c r="B81" i="1"/>
  <c r="C81" i="1" s="1"/>
  <c r="E81" i="1" s="1"/>
  <c r="B82" i="1"/>
  <c r="C82" i="1" s="1"/>
  <c r="B83" i="1"/>
  <c r="C83" i="1" s="1"/>
  <c r="B84" i="1"/>
  <c r="C84" i="1" s="1"/>
  <c r="B85" i="1"/>
  <c r="C85" i="1" s="1"/>
  <c r="B86" i="1"/>
  <c r="C86" i="1" s="1"/>
  <c r="B87" i="1"/>
  <c r="C87" i="1" s="1"/>
  <c r="B88" i="1"/>
  <c r="C88" i="1" s="1"/>
  <c r="E88" i="1" s="1"/>
  <c r="B89" i="1"/>
  <c r="C89" i="1" s="1"/>
  <c r="B90" i="1"/>
  <c r="C90" i="1" s="1"/>
  <c r="B91" i="1"/>
  <c r="C91" i="1" s="1"/>
  <c r="B92" i="1"/>
  <c r="C92" i="1" s="1"/>
  <c r="B93" i="1"/>
  <c r="C93" i="1" s="1"/>
  <c r="B94" i="1"/>
  <c r="C94" i="1" s="1"/>
  <c r="B95" i="1"/>
  <c r="C95" i="1" s="1"/>
  <c r="B96" i="1"/>
  <c r="C96" i="1" s="1"/>
  <c r="E96" i="1" s="1"/>
  <c r="B97" i="1"/>
  <c r="C97" i="1" s="1"/>
  <c r="B98" i="1"/>
  <c r="C98" i="1" s="1"/>
  <c r="B99" i="1"/>
  <c r="C99" i="1" s="1"/>
  <c r="E99" i="1" s="1"/>
  <c r="B100" i="1"/>
  <c r="C100" i="1" s="1"/>
  <c r="B101" i="1"/>
  <c r="C101" i="1" s="1"/>
  <c r="B102" i="1"/>
  <c r="C102" i="1" s="1"/>
  <c r="B103" i="1"/>
  <c r="C103" i="1" s="1"/>
  <c r="B104" i="1"/>
  <c r="C104" i="1" s="1"/>
  <c r="E104" i="1" s="1"/>
  <c r="B105" i="1"/>
  <c r="C105" i="1" s="1"/>
  <c r="E105" i="1" s="1"/>
  <c r="B106" i="1"/>
  <c r="C106" i="1" s="1"/>
  <c r="B107" i="1"/>
  <c r="C107" i="1" s="1"/>
  <c r="B8" i="1"/>
  <c r="C8" i="1" s="1"/>
  <c r="B9" i="1"/>
  <c r="C9" i="1" s="1"/>
  <c r="B10" i="1"/>
  <c r="C10" i="1" s="1"/>
  <c r="B11" i="1"/>
  <c r="C11" i="1" s="1"/>
  <c r="B7" i="1"/>
  <c r="D10" i="1" l="1"/>
  <c r="F10" i="1" s="1"/>
  <c r="E10" i="1"/>
  <c r="D90" i="1"/>
  <c r="F90" i="1" s="1"/>
  <c r="E90" i="1"/>
  <c r="D9" i="1"/>
  <c r="F9" i="1" s="1"/>
  <c r="E9" i="1"/>
  <c r="D97" i="1"/>
  <c r="F97" i="1" s="1"/>
  <c r="E97" i="1"/>
  <c r="D89" i="1"/>
  <c r="F89" i="1" s="1"/>
  <c r="E89" i="1"/>
  <c r="D8" i="1"/>
  <c r="F8" i="1" s="1"/>
  <c r="E8" i="1"/>
  <c r="D11" i="1"/>
  <c r="F11" i="1" s="1"/>
  <c r="E11" i="1"/>
  <c r="D107" i="1"/>
  <c r="F107" i="1" s="1"/>
  <c r="E107" i="1"/>
  <c r="D103" i="1"/>
  <c r="F103" i="1" s="1"/>
  <c r="E103" i="1"/>
  <c r="D95" i="1"/>
  <c r="F95" i="1" s="1"/>
  <c r="E95" i="1"/>
  <c r="D91" i="1"/>
  <c r="F91" i="1" s="1"/>
  <c r="E91" i="1"/>
  <c r="D87" i="1"/>
  <c r="F87" i="1" s="1"/>
  <c r="E87" i="1"/>
  <c r="D83" i="1"/>
  <c r="F83" i="1" s="1"/>
  <c r="E83" i="1"/>
  <c r="D79" i="1"/>
  <c r="F79" i="1" s="1"/>
  <c r="E79" i="1"/>
  <c r="D75" i="1"/>
  <c r="F75" i="1" s="1"/>
  <c r="E75" i="1"/>
  <c r="D71" i="1"/>
  <c r="F71" i="1" s="1"/>
  <c r="E71" i="1"/>
  <c r="D67" i="1"/>
  <c r="F67" i="1" s="1"/>
  <c r="E67" i="1"/>
  <c r="D63" i="1"/>
  <c r="F63" i="1" s="1"/>
  <c r="E63" i="1"/>
  <c r="D59" i="1"/>
  <c r="F59" i="1" s="1"/>
  <c r="E59" i="1"/>
  <c r="D55" i="1"/>
  <c r="F55" i="1" s="1"/>
  <c r="E55" i="1"/>
  <c r="D51" i="1"/>
  <c r="F51" i="1" s="1"/>
  <c r="E51" i="1"/>
  <c r="D47" i="1"/>
  <c r="F47" i="1" s="1"/>
  <c r="E47" i="1"/>
  <c r="D43" i="1"/>
  <c r="F43" i="1" s="1"/>
  <c r="E43" i="1"/>
  <c r="D39" i="1"/>
  <c r="F39" i="1" s="1"/>
  <c r="E39" i="1"/>
  <c r="D35" i="1"/>
  <c r="F35" i="1" s="1"/>
  <c r="E35" i="1"/>
  <c r="D31" i="1"/>
  <c r="F31" i="1" s="1"/>
  <c r="E31" i="1"/>
  <c r="D23" i="1"/>
  <c r="F23" i="1" s="1"/>
  <c r="E23" i="1"/>
  <c r="D19" i="1"/>
  <c r="F19" i="1" s="1"/>
  <c r="E19" i="1"/>
  <c r="D15" i="1"/>
  <c r="F15" i="1" s="1"/>
  <c r="E15" i="1"/>
  <c r="D102" i="1"/>
  <c r="F102" i="1" s="1"/>
  <c r="E102" i="1"/>
  <c r="D86" i="1"/>
  <c r="F86" i="1" s="1"/>
  <c r="E86" i="1"/>
  <c r="D74" i="1"/>
  <c r="F74" i="1" s="1"/>
  <c r="E74" i="1"/>
  <c r="D70" i="1"/>
  <c r="F70" i="1" s="1"/>
  <c r="E70" i="1"/>
  <c r="D66" i="1"/>
  <c r="F66" i="1" s="1"/>
  <c r="E66" i="1"/>
  <c r="D62" i="1"/>
  <c r="F62" i="1" s="1"/>
  <c r="E62" i="1"/>
  <c r="D54" i="1"/>
  <c r="F54" i="1" s="1"/>
  <c r="E54" i="1"/>
  <c r="D50" i="1"/>
  <c r="F50" i="1" s="1"/>
  <c r="E50" i="1"/>
  <c r="D46" i="1"/>
  <c r="F46" i="1" s="1"/>
  <c r="E46" i="1"/>
  <c r="D42" i="1"/>
  <c r="F42" i="1" s="1"/>
  <c r="E42" i="1"/>
  <c r="D38" i="1"/>
  <c r="F38" i="1" s="1"/>
  <c r="E38" i="1"/>
  <c r="D34" i="1"/>
  <c r="F34" i="1" s="1"/>
  <c r="E34" i="1"/>
  <c r="D30" i="1"/>
  <c r="F30" i="1" s="1"/>
  <c r="E30" i="1"/>
  <c r="D26" i="1"/>
  <c r="F26" i="1" s="1"/>
  <c r="E26" i="1"/>
  <c r="D22" i="1"/>
  <c r="F22" i="1" s="1"/>
  <c r="E22" i="1"/>
  <c r="D18" i="1"/>
  <c r="F18" i="1" s="1"/>
  <c r="E18" i="1"/>
  <c r="D14" i="1"/>
  <c r="F14" i="1" s="1"/>
  <c r="E14" i="1"/>
  <c r="D98" i="1"/>
  <c r="F98" i="1" s="1"/>
  <c r="E98" i="1"/>
  <c r="D93" i="1"/>
  <c r="F93" i="1" s="1"/>
  <c r="E93" i="1"/>
  <c r="D85" i="1"/>
  <c r="F85" i="1" s="1"/>
  <c r="E85" i="1"/>
  <c r="D77" i="1"/>
  <c r="F77" i="1" s="1"/>
  <c r="E77" i="1"/>
  <c r="D73" i="1"/>
  <c r="F73" i="1" s="1"/>
  <c r="E73" i="1"/>
  <c r="D69" i="1"/>
  <c r="F69" i="1" s="1"/>
  <c r="E69" i="1"/>
  <c r="D65" i="1"/>
  <c r="F65" i="1" s="1"/>
  <c r="E65" i="1"/>
  <c r="D61" i="1"/>
  <c r="F61" i="1" s="1"/>
  <c r="E61" i="1"/>
  <c r="D57" i="1"/>
  <c r="F57" i="1" s="1"/>
  <c r="E57" i="1"/>
  <c r="D53" i="1"/>
  <c r="F53" i="1" s="1"/>
  <c r="E53" i="1"/>
  <c r="D49" i="1"/>
  <c r="F49" i="1" s="1"/>
  <c r="E49" i="1"/>
  <c r="D45" i="1"/>
  <c r="F45" i="1" s="1"/>
  <c r="E45" i="1"/>
  <c r="G41" i="1"/>
  <c r="H41" i="1" s="1"/>
  <c r="E41" i="1"/>
  <c r="D37" i="1"/>
  <c r="F37" i="1" s="1"/>
  <c r="E37" i="1"/>
  <c r="D33" i="1"/>
  <c r="F33" i="1" s="1"/>
  <c r="E33" i="1"/>
  <c r="D29" i="1"/>
  <c r="F29" i="1" s="1"/>
  <c r="E29" i="1"/>
  <c r="D25" i="1"/>
  <c r="F25" i="1" s="1"/>
  <c r="E25" i="1"/>
  <c r="D21" i="1"/>
  <c r="F21" i="1" s="1"/>
  <c r="E21" i="1"/>
  <c r="D17" i="1"/>
  <c r="F17" i="1" s="1"/>
  <c r="E17" i="1"/>
  <c r="D13" i="1"/>
  <c r="F13" i="1" s="1"/>
  <c r="E13" i="1"/>
  <c r="D106" i="1"/>
  <c r="F106" i="1" s="1"/>
  <c r="E106" i="1"/>
  <c r="D94" i="1"/>
  <c r="F94" i="1" s="1"/>
  <c r="E94" i="1"/>
  <c r="D82" i="1"/>
  <c r="F82" i="1" s="1"/>
  <c r="E82" i="1"/>
  <c r="D101" i="1"/>
  <c r="F101" i="1" s="1"/>
  <c r="E101" i="1"/>
  <c r="H7" i="1"/>
  <c r="E7" i="1"/>
  <c r="D100" i="1"/>
  <c r="F100" i="1" s="1"/>
  <c r="E100" i="1"/>
  <c r="D92" i="1"/>
  <c r="F92" i="1" s="1"/>
  <c r="E92" i="1"/>
  <c r="D84" i="1"/>
  <c r="F84" i="1" s="1"/>
  <c r="E84" i="1"/>
  <c r="D76" i="1"/>
  <c r="F76" i="1" s="1"/>
  <c r="E76" i="1"/>
  <c r="D72" i="1"/>
  <c r="F72" i="1" s="1"/>
  <c r="E72" i="1"/>
  <c r="D68" i="1"/>
  <c r="F68" i="1" s="1"/>
  <c r="E68" i="1"/>
  <c r="D60" i="1"/>
  <c r="F60" i="1" s="1"/>
  <c r="E60" i="1"/>
  <c r="D52" i="1"/>
  <c r="F52" i="1" s="1"/>
  <c r="E52" i="1"/>
  <c r="D48" i="1"/>
  <c r="F48" i="1" s="1"/>
  <c r="E48" i="1"/>
  <c r="D44" i="1"/>
  <c r="F44" i="1" s="1"/>
  <c r="E44" i="1"/>
  <c r="D36" i="1"/>
  <c r="F36" i="1" s="1"/>
  <c r="E36" i="1"/>
  <c r="D32" i="1"/>
  <c r="F32" i="1" s="1"/>
  <c r="E32" i="1"/>
  <c r="D28" i="1"/>
  <c r="F28" i="1" s="1"/>
  <c r="E28" i="1"/>
  <c r="D24" i="1"/>
  <c r="F24" i="1" s="1"/>
  <c r="E24" i="1"/>
  <c r="D20" i="1"/>
  <c r="F20" i="1" s="1"/>
  <c r="E20" i="1"/>
  <c r="D16" i="1"/>
  <c r="F16" i="1" s="1"/>
  <c r="E16" i="1"/>
  <c r="D12" i="1"/>
  <c r="F12" i="1" s="1"/>
  <c r="E12" i="1"/>
  <c r="G98" i="1"/>
  <c r="H98" i="1" s="1"/>
  <c r="G55" i="1"/>
  <c r="H55" i="1" s="1"/>
  <c r="G97" i="1"/>
  <c r="H97" i="1" s="1"/>
  <c r="G89" i="1"/>
  <c r="H89" i="1" s="1"/>
  <c r="G50" i="1"/>
  <c r="H50" i="1" s="1"/>
  <c r="G106" i="1"/>
  <c r="H106" i="1" s="1"/>
  <c r="G49" i="1"/>
  <c r="H49" i="1" s="1"/>
  <c r="G25" i="1"/>
  <c r="H25" i="1" s="1"/>
  <c r="G81" i="1"/>
  <c r="H81" i="1" s="1"/>
  <c r="D81" i="1"/>
  <c r="F81" i="1" s="1"/>
  <c r="G74" i="1"/>
  <c r="H74" i="1" s="1"/>
  <c r="G33" i="1"/>
  <c r="H33" i="1" s="1"/>
  <c r="G42" i="1"/>
  <c r="H42" i="1" s="1"/>
  <c r="G73" i="1"/>
  <c r="H73" i="1" s="1"/>
  <c r="G26" i="1"/>
  <c r="H26" i="1" s="1"/>
  <c r="G66" i="1"/>
  <c r="H66" i="1" s="1"/>
  <c r="G65" i="1"/>
  <c r="H65" i="1" s="1"/>
  <c r="G17" i="1"/>
  <c r="H17" i="1" s="1"/>
  <c r="D105" i="1"/>
  <c r="F105" i="1" s="1"/>
  <c r="G105" i="1"/>
  <c r="H105" i="1" s="1"/>
  <c r="G16" i="1"/>
  <c r="H16" i="1" s="1"/>
  <c r="G95" i="1"/>
  <c r="H95" i="1" s="1"/>
  <c r="G72" i="1"/>
  <c r="H72" i="1" s="1"/>
  <c r="G31" i="1"/>
  <c r="H31" i="1" s="1"/>
  <c r="G15" i="1"/>
  <c r="H15" i="1" s="1"/>
  <c r="D41" i="1"/>
  <c r="F41" i="1" s="1"/>
  <c r="G90" i="1"/>
  <c r="H90" i="1" s="1"/>
  <c r="G71" i="1"/>
  <c r="H71" i="1" s="1"/>
  <c r="G47" i="1"/>
  <c r="H47" i="1" s="1"/>
  <c r="G10" i="1"/>
  <c r="H10" i="1" s="1"/>
  <c r="G87" i="1"/>
  <c r="H87" i="1" s="1"/>
  <c r="G63" i="1"/>
  <c r="H63" i="1" s="1"/>
  <c r="G39" i="1"/>
  <c r="H39" i="1" s="1"/>
  <c r="G23" i="1"/>
  <c r="H23" i="1" s="1"/>
  <c r="G32" i="1"/>
  <c r="H32" i="1" s="1"/>
  <c r="G24" i="1"/>
  <c r="H24" i="1" s="1"/>
  <c r="G103" i="1"/>
  <c r="H103" i="1" s="1"/>
  <c r="G79" i="1"/>
  <c r="H79" i="1" s="1"/>
  <c r="G57" i="1"/>
  <c r="H57" i="1" s="1"/>
  <c r="G34" i="1"/>
  <c r="H34" i="1" s="1"/>
  <c r="G18" i="1"/>
  <c r="H18" i="1" s="1"/>
  <c r="D104" i="1"/>
  <c r="F104" i="1" s="1"/>
  <c r="G104" i="1"/>
  <c r="H104" i="1" s="1"/>
  <c r="D88" i="1"/>
  <c r="F88" i="1" s="1"/>
  <c r="G88" i="1"/>
  <c r="H88" i="1" s="1"/>
  <c r="D64" i="1"/>
  <c r="F64" i="1" s="1"/>
  <c r="G64" i="1"/>
  <c r="H64" i="1" s="1"/>
  <c r="D56" i="1"/>
  <c r="F56" i="1" s="1"/>
  <c r="G56" i="1"/>
  <c r="H56" i="1" s="1"/>
  <c r="D40" i="1"/>
  <c r="F40" i="1" s="1"/>
  <c r="G40" i="1"/>
  <c r="H40" i="1" s="1"/>
  <c r="D78" i="1"/>
  <c r="F78" i="1" s="1"/>
  <c r="G78" i="1"/>
  <c r="H78" i="1" s="1"/>
  <c r="D96" i="1"/>
  <c r="F96" i="1" s="1"/>
  <c r="G96" i="1"/>
  <c r="H96" i="1" s="1"/>
  <c r="D80" i="1"/>
  <c r="F80" i="1" s="1"/>
  <c r="G80" i="1"/>
  <c r="H80" i="1" s="1"/>
  <c r="D99" i="1"/>
  <c r="F99" i="1" s="1"/>
  <c r="G99" i="1"/>
  <c r="H99" i="1" s="1"/>
  <c r="G27" i="1"/>
  <c r="H27" i="1" s="1"/>
  <c r="D27" i="1"/>
  <c r="F27" i="1" s="1"/>
  <c r="D58" i="1"/>
  <c r="F58" i="1" s="1"/>
  <c r="G58" i="1"/>
  <c r="H58" i="1" s="1"/>
  <c r="G82" i="1"/>
  <c r="H82" i="1" s="1"/>
  <c r="G48" i="1"/>
  <c r="H48" i="1" s="1"/>
  <c r="G8" i="1"/>
  <c r="H8" i="1" s="1"/>
  <c r="G102" i="1"/>
  <c r="H102" i="1" s="1"/>
  <c r="G94" i="1"/>
  <c r="H94" i="1" s="1"/>
  <c r="G86" i="1"/>
  <c r="H86" i="1" s="1"/>
  <c r="G70" i="1"/>
  <c r="H70" i="1" s="1"/>
  <c r="G62" i="1"/>
  <c r="H62" i="1" s="1"/>
  <c r="G54" i="1"/>
  <c r="H54" i="1" s="1"/>
  <c r="G46" i="1"/>
  <c r="H46" i="1" s="1"/>
  <c r="G38" i="1"/>
  <c r="H38" i="1" s="1"/>
  <c r="G30" i="1"/>
  <c r="H30" i="1" s="1"/>
  <c r="G22" i="1"/>
  <c r="H22" i="1" s="1"/>
  <c r="G14" i="1"/>
  <c r="H14" i="1" s="1"/>
  <c r="G9" i="1"/>
  <c r="H9" i="1" s="1"/>
  <c r="G93" i="1"/>
  <c r="H93" i="1" s="1"/>
  <c r="G77" i="1"/>
  <c r="H77" i="1" s="1"/>
  <c r="G69" i="1"/>
  <c r="H69" i="1" s="1"/>
  <c r="G53" i="1"/>
  <c r="H53" i="1" s="1"/>
  <c r="G37" i="1"/>
  <c r="H37" i="1" s="1"/>
  <c r="G21" i="1"/>
  <c r="H21" i="1" s="1"/>
  <c r="G100" i="1"/>
  <c r="H100" i="1" s="1"/>
  <c r="G92" i="1"/>
  <c r="H92" i="1" s="1"/>
  <c r="G84" i="1"/>
  <c r="H84" i="1" s="1"/>
  <c r="G76" i="1"/>
  <c r="H76" i="1" s="1"/>
  <c r="G68" i="1"/>
  <c r="H68" i="1" s="1"/>
  <c r="G60" i="1"/>
  <c r="H60" i="1" s="1"/>
  <c r="G52" i="1"/>
  <c r="H52" i="1" s="1"/>
  <c r="G44" i="1"/>
  <c r="H44" i="1" s="1"/>
  <c r="G36" i="1"/>
  <c r="H36" i="1" s="1"/>
  <c r="G28" i="1"/>
  <c r="H28" i="1" s="1"/>
  <c r="G20" i="1"/>
  <c r="H20" i="1" s="1"/>
  <c r="G12" i="1"/>
  <c r="H12" i="1" s="1"/>
  <c r="G101" i="1"/>
  <c r="H101" i="1" s="1"/>
  <c r="G85" i="1"/>
  <c r="H85" i="1" s="1"/>
  <c r="G61" i="1"/>
  <c r="H61" i="1" s="1"/>
  <c r="G45" i="1"/>
  <c r="H45" i="1" s="1"/>
  <c r="G29" i="1"/>
  <c r="H29" i="1" s="1"/>
  <c r="G13" i="1"/>
  <c r="H13" i="1" s="1"/>
  <c r="G107" i="1"/>
  <c r="H107" i="1" s="1"/>
  <c r="G91" i="1"/>
  <c r="H91" i="1" s="1"/>
  <c r="G83" i="1"/>
  <c r="H83" i="1" s="1"/>
  <c r="G75" i="1"/>
  <c r="H75" i="1" s="1"/>
  <c r="G67" i="1"/>
  <c r="H67" i="1" s="1"/>
  <c r="G59" i="1"/>
  <c r="H59" i="1" s="1"/>
  <c r="G51" i="1"/>
  <c r="H51" i="1" s="1"/>
  <c r="G43" i="1"/>
  <c r="H43" i="1" s="1"/>
  <c r="G35" i="1"/>
  <c r="H35" i="1" s="1"/>
  <c r="G19" i="1"/>
  <c r="H19" i="1" s="1"/>
  <c r="G11" i="1"/>
  <c r="H11" i="1" s="1"/>
  <c r="D7" i="1"/>
  <c r="F7" i="1" s="1"/>
</calcChain>
</file>

<file path=xl/sharedStrings.xml><?xml version="1.0" encoding="utf-8"?>
<sst xmlns="http://schemas.openxmlformats.org/spreadsheetml/2006/main" count="13" uniqueCount="12">
  <si>
    <t>% of Meter Range</t>
  </si>
  <si>
    <t>Meter Full Scale</t>
  </si>
  <si>
    <t>SLPM</t>
  </si>
  <si>
    <t>Accuracy Reading</t>
  </si>
  <si>
    <t>Accuracy Full Scale</t>
  </si>
  <si>
    <t>SLPM Error(+)</t>
  </si>
  <si>
    <t>SLPM Error(-)</t>
  </si>
  <si>
    <t>% Error (+ Full Scale)</t>
  </si>
  <si>
    <t>% Error (-Full Scale)</t>
  </si>
  <si>
    <t>% Error (+ Reading)</t>
  </si>
  <si>
    <t>% Error (-Reading)</t>
  </si>
  <si>
    <t>Total Error of Flow Rate. (Integration should be same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</si>
</sst>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" x14ac:knownFonts="1">
    <font>
      <sz val="11"/>
      <color theme="1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9" tint="0.599993896298104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0000"/>
        <bgColor indexed="64"/>
      </patternFill>
    </fill>
  </fills>
  <borders count="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12">
    <xf numFmtId="0" fontId="0" fillId="0" borderId="0" xfId="0"/>
    <xf numFmtId="0" fontId="0" fillId="2" borderId="1" xfId="0" applyFill="1" applyBorder="1"/>
    <xf numFmtId="0" fontId="0" fillId="0" borderId="1" xfId="0" applyBorder="1"/>
    <xf numFmtId="0" fontId="0" fillId="2" borderId="1" xfId="0" applyFill="1" applyBorder="1" applyAlignment="1">
      <alignment horizontal="center"/>
    </xf>
    <xf numFmtId="2" fontId="0" fillId="0" borderId="1" xfId="0" applyNumberFormat="1" applyBorder="1"/>
    <xf numFmtId="0" fontId="0" fillId="3" borderId="1" xfId="0" applyFill="1" applyBorder="1" applyAlignment="1">
      <alignment horizontal="center"/>
    </xf>
    <xf numFmtId="0" fontId="0" fillId="3" borderId="1" xfId="0" applyFill="1" applyBorder="1"/>
    <xf numFmtId="0" fontId="0" fillId="4" borderId="1" xfId="0" applyFill="1" applyBorder="1"/>
    <xf numFmtId="2" fontId="0" fillId="4" borderId="1" xfId="0" applyNumberFormat="1" applyFill="1" applyBorder="1"/>
    <xf numFmtId="0" fontId="0" fillId="4" borderId="1" xfId="0" applyFill="1" applyBorder="1" applyAlignment="1">
      <alignment horizontal="center"/>
    </xf>
    <xf numFmtId="0" fontId="0" fillId="2" borderId="2" xfId="0" applyFill="1" applyBorder="1" applyAlignment="1">
      <alignment horizontal="center" wrapText="1"/>
    </xf>
    <xf numFmtId="0" fontId="0" fillId="2" borderId="3" xfId="0" applyFill="1" applyBorder="1" applyAlignment="1">
      <alignment horizontal="center" wrapText="1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FMA-1600</a:t>
            </a:r>
            <a:r>
              <a:rPr lang="en-US" baseline="0"/>
              <a:t> Mass Flow Meter Error %</a:t>
            </a:r>
            <a:endParaRPr lang="en-US"/>
          </a:p>
        </c:rich>
      </c:tx>
      <c:layout/>
      <c:overlay val="0"/>
      <c:spPr>
        <a:noFill/>
        <a:ln>
          <a:noFill/>
        </a:ln>
        <a:effectLst/>
      </c:spPr>
    </c:title>
    <c:autoTitleDeleted val="0"/>
    <c:plotArea>
      <c:layout/>
      <c:scatterChart>
        <c:scatterStyle val="lineMarker"/>
        <c:varyColors val="0"/>
        <c:ser>
          <c:idx val="1"/>
          <c:order val="0"/>
          <c:tx>
            <c:v>Mass Flow Meter Error (+)</c:v>
          </c:tx>
          <c:spPr>
            <a:ln w="1905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dLbls>
            <c:dLbl>
              <c:idx val="100"/>
              <c:layout/>
              <c:dLblPos val="r"/>
              <c:showLegendKey val="0"/>
              <c:showVal val="1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Sheet1!$A$7:$A$107</c:f>
              <c:numCache>
                <c:formatCode>General</c:formatCode>
                <c:ptCount val="1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</c:numCache>
            </c:numRef>
          </c:xVal>
          <c:yVal>
            <c:numRef>
              <c:f>Sheet1!$G$7:$G$107</c:f>
              <c:numCache>
                <c:formatCode>General</c:formatCode>
                <c:ptCount val="101"/>
                <c:pt idx="0">
                  <c:v>0.2</c:v>
                </c:pt>
                <c:pt idx="1">
                  <c:v>0.20400000000000001</c:v>
                </c:pt>
                <c:pt idx="2">
                  <c:v>0.20799999999999999</c:v>
                </c:pt>
                <c:pt idx="3">
                  <c:v>0.21199999999999999</c:v>
                </c:pt>
                <c:pt idx="4">
                  <c:v>0.216</c:v>
                </c:pt>
                <c:pt idx="5">
                  <c:v>0.21999999999999997</c:v>
                </c:pt>
                <c:pt idx="6">
                  <c:v>0.22399999999999998</c:v>
                </c:pt>
                <c:pt idx="7">
                  <c:v>0.22799999999999998</c:v>
                </c:pt>
                <c:pt idx="8">
                  <c:v>0.23200000000000001</c:v>
                </c:pt>
                <c:pt idx="9">
                  <c:v>0.23600000000000002</c:v>
                </c:pt>
                <c:pt idx="10">
                  <c:v>0.24000000000000002</c:v>
                </c:pt>
                <c:pt idx="11">
                  <c:v>0.24400000000000002</c:v>
                </c:pt>
                <c:pt idx="12">
                  <c:v>0.248</c:v>
                </c:pt>
                <c:pt idx="13">
                  <c:v>0.252</c:v>
                </c:pt>
                <c:pt idx="14">
                  <c:v>0.25600000000000001</c:v>
                </c:pt>
                <c:pt idx="15">
                  <c:v>0.26</c:v>
                </c:pt>
                <c:pt idx="16">
                  <c:v>0.26400000000000001</c:v>
                </c:pt>
                <c:pt idx="17">
                  <c:v>0.26800000000000002</c:v>
                </c:pt>
                <c:pt idx="18">
                  <c:v>0.27200000000000002</c:v>
                </c:pt>
                <c:pt idx="19">
                  <c:v>0.27599999999999997</c:v>
                </c:pt>
                <c:pt idx="20">
                  <c:v>0.27999999999999997</c:v>
                </c:pt>
                <c:pt idx="21">
                  <c:v>0.28400000000000003</c:v>
                </c:pt>
                <c:pt idx="22">
                  <c:v>0.28799999999999998</c:v>
                </c:pt>
                <c:pt idx="23">
                  <c:v>0.29199999999999998</c:v>
                </c:pt>
                <c:pt idx="24">
                  <c:v>0.29599999999999999</c:v>
                </c:pt>
                <c:pt idx="25">
                  <c:v>0.3</c:v>
                </c:pt>
                <c:pt idx="26">
                  <c:v>0.30399999999999999</c:v>
                </c:pt>
                <c:pt idx="27">
                  <c:v>0.30800000000000005</c:v>
                </c:pt>
                <c:pt idx="28">
                  <c:v>0.312</c:v>
                </c:pt>
                <c:pt idx="29">
                  <c:v>0.31600000000000006</c:v>
                </c:pt>
                <c:pt idx="30">
                  <c:v>0.32</c:v>
                </c:pt>
                <c:pt idx="31">
                  <c:v>0.32399999999999995</c:v>
                </c:pt>
                <c:pt idx="32">
                  <c:v>0.32800000000000001</c:v>
                </c:pt>
                <c:pt idx="33">
                  <c:v>0.33200000000000002</c:v>
                </c:pt>
                <c:pt idx="34">
                  <c:v>0.33600000000000008</c:v>
                </c:pt>
                <c:pt idx="35">
                  <c:v>0.34</c:v>
                </c:pt>
                <c:pt idx="36">
                  <c:v>0.34399999999999997</c:v>
                </c:pt>
                <c:pt idx="37">
                  <c:v>0.34800000000000003</c:v>
                </c:pt>
                <c:pt idx="38">
                  <c:v>0.35200000000000004</c:v>
                </c:pt>
                <c:pt idx="39">
                  <c:v>0.35599999999999998</c:v>
                </c:pt>
                <c:pt idx="40">
                  <c:v>0.36000000000000004</c:v>
                </c:pt>
                <c:pt idx="41">
                  <c:v>0.36399999999999999</c:v>
                </c:pt>
                <c:pt idx="42">
                  <c:v>0.36799999999999999</c:v>
                </c:pt>
                <c:pt idx="43">
                  <c:v>0.372</c:v>
                </c:pt>
                <c:pt idx="44">
                  <c:v>0.37600000000000006</c:v>
                </c:pt>
                <c:pt idx="45">
                  <c:v>0.38000000000000006</c:v>
                </c:pt>
                <c:pt idx="46">
                  <c:v>0.38400000000000006</c:v>
                </c:pt>
                <c:pt idx="47">
                  <c:v>0.38800000000000001</c:v>
                </c:pt>
                <c:pt idx="48">
                  <c:v>0.39200000000000002</c:v>
                </c:pt>
                <c:pt idx="49">
                  <c:v>0.39600000000000002</c:v>
                </c:pt>
                <c:pt idx="50">
                  <c:v>0.4</c:v>
                </c:pt>
                <c:pt idx="51">
                  <c:v>0.40400000000000003</c:v>
                </c:pt>
                <c:pt idx="52">
                  <c:v>0.40800000000000003</c:v>
                </c:pt>
                <c:pt idx="53">
                  <c:v>0.41200000000000003</c:v>
                </c:pt>
                <c:pt idx="54">
                  <c:v>0.41599999999999998</c:v>
                </c:pt>
                <c:pt idx="55">
                  <c:v>0.42000000000000004</c:v>
                </c:pt>
                <c:pt idx="56">
                  <c:v>0.42399999999999988</c:v>
                </c:pt>
                <c:pt idx="57">
                  <c:v>0.4280000000000001</c:v>
                </c:pt>
                <c:pt idx="58">
                  <c:v>0.432</c:v>
                </c:pt>
                <c:pt idx="59">
                  <c:v>0.436</c:v>
                </c:pt>
                <c:pt idx="60">
                  <c:v>0.44</c:v>
                </c:pt>
                <c:pt idx="61">
                  <c:v>0.44399999999999995</c:v>
                </c:pt>
                <c:pt idx="62">
                  <c:v>0.44800000000000006</c:v>
                </c:pt>
                <c:pt idx="63">
                  <c:v>0.45200000000000007</c:v>
                </c:pt>
                <c:pt idx="64">
                  <c:v>0.45599999999999996</c:v>
                </c:pt>
                <c:pt idx="65">
                  <c:v>0.45999999999999996</c:v>
                </c:pt>
                <c:pt idx="66">
                  <c:v>0.46400000000000002</c:v>
                </c:pt>
                <c:pt idx="67">
                  <c:v>0.46800000000000003</c:v>
                </c:pt>
                <c:pt idx="68">
                  <c:v>0.47200000000000003</c:v>
                </c:pt>
                <c:pt idx="69">
                  <c:v>0.47600000000000003</c:v>
                </c:pt>
                <c:pt idx="70">
                  <c:v>0.48000000000000004</c:v>
                </c:pt>
                <c:pt idx="71">
                  <c:v>0.48399999999999999</c:v>
                </c:pt>
                <c:pt idx="72">
                  <c:v>0.48800000000000004</c:v>
                </c:pt>
                <c:pt idx="73">
                  <c:v>0.49199999999999999</c:v>
                </c:pt>
                <c:pt idx="74">
                  <c:v>0.49600000000000011</c:v>
                </c:pt>
                <c:pt idx="75">
                  <c:v>0.5</c:v>
                </c:pt>
                <c:pt idx="76">
                  <c:v>0.504</c:v>
                </c:pt>
                <c:pt idx="77">
                  <c:v>0.5079999999999999</c:v>
                </c:pt>
                <c:pt idx="78">
                  <c:v>0.51200000000000001</c:v>
                </c:pt>
                <c:pt idx="79">
                  <c:v>0.51600000000000001</c:v>
                </c:pt>
                <c:pt idx="80">
                  <c:v>0.52</c:v>
                </c:pt>
                <c:pt idx="81">
                  <c:v>0.52400000000000002</c:v>
                </c:pt>
                <c:pt idx="82">
                  <c:v>0.52800000000000002</c:v>
                </c:pt>
                <c:pt idx="83">
                  <c:v>0.53200000000000003</c:v>
                </c:pt>
                <c:pt idx="84">
                  <c:v>0.53600000000000014</c:v>
                </c:pt>
                <c:pt idx="85">
                  <c:v>0.54</c:v>
                </c:pt>
                <c:pt idx="86">
                  <c:v>0.54400000000000004</c:v>
                </c:pt>
                <c:pt idx="87">
                  <c:v>0.54800000000000004</c:v>
                </c:pt>
                <c:pt idx="88">
                  <c:v>0.55199999999999994</c:v>
                </c:pt>
                <c:pt idx="89">
                  <c:v>0.55600000000000005</c:v>
                </c:pt>
                <c:pt idx="90">
                  <c:v>0.56000000000000005</c:v>
                </c:pt>
                <c:pt idx="91">
                  <c:v>0.56400000000000006</c:v>
                </c:pt>
                <c:pt idx="92">
                  <c:v>0.56800000000000006</c:v>
                </c:pt>
                <c:pt idx="93">
                  <c:v>0.57200000000000006</c:v>
                </c:pt>
                <c:pt idx="94">
                  <c:v>0.57599999999999996</c:v>
                </c:pt>
                <c:pt idx="95">
                  <c:v>0.58000000000000018</c:v>
                </c:pt>
                <c:pt idx="96">
                  <c:v>0.58399999999999996</c:v>
                </c:pt>
                <c:pt idx="97">
                  <c:v>0.58800000000000008</c:v>
                </c:pt>
                <c:pt idx="98">
                  <c:v>0.59199999999999997</c:v>
                </c:pt>
                <c:pt idx="99">
                  <c:v>0.59599999999999997</c:v>
                </c:pt>
                <c:pt idx="100">
                  <c:v>0.6</c:v>
                </c:pt>
              </c:numCache>
            </c:numRef>
          </c:yVal>
          <c:smooth val="0"/>
        </c:ser>
        <c:ser>
          <c:idx val="0"/>
          <c:order val="1"/>
          <c:tx>
            <c:v>Mass Flow Meter Error (-)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dLbl>
              <c:idx val="100"/>
              <c:layout/>
              <c:dLblPos val="r"/>
              <c:showLegendKey val="0"/>
              <c:showVal val="1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Sheet1!$A$7:$A$107</c:f>
              <c:numCache>
                <c:formatCode>General</c:formatCode>
                <c:ptCount val="1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</c:numCache>
            </c:numRef>
          </c:xVal>
          <c:yVal>
            <c:numRef>
              <c:f>Sheet1!$H$7:$H$107</c:f>
              <c:numCache>
                <c:formatCode>General</c:formatCode>
                <c:ptCount val="101"/>
                <c:pt idx="0">
                  <c:v>-0.2</c:v>
                </c:pt>
                <c:pt idx="1">
                  <c:v>-0.20400000000000001</c:v>
                </c:pt>
                <c:pt idx="2">
                  <c:v>-0.20799999999999999</c:v>
                </c:pt>
                <c:pt idx="3">
                  <c:v>-0.21199999999999999</c:v>
                </c:pt>
                <c:pt idx="4">
                  <c:v>-0.216</c:v>
                </c:pt>
                <c:pt idx="5">
                  <c:v>-0.21999999999999997</c:v>
                </c:pt>
                <c:pt idx="6">
                  <c:v>-0.22399999999999998</c:v>
                </c:pt>
                <c:pt idx="7">
                  <c:v>-0.22799999999999998</c:v>
                </c:pt>
                <c:pt idx="8">
                  <c:v>-0.23200000000000001</c:v>
                </c:pt>
                <c:pt idx="9">
                  <c:v>-0.23600000000000002</c:v>
                </c:pt>
                <c:pt idx="10">
                  <c:v>-0.24000000000000002</c:v>
                </c:pt>
                <c:pt idx="11">
                  <c:v>-0.24400000000000002</c:v>
                </c:pt>
                <c:pt idx="12">
                  <c:v>-0.248</c:v>
                </c:pt>
                <c:pt idx="13">
                  <c:v>-0.252</c:v>
                </c:pt>
                <c:pt idx="14">
                  <c:v>-0.25600000000000001</c:v>
                </c:pt>
                <c:pt idx="15">
                  <c:v>-0.26</c:v>
                </c:pt>
                <c:pt idx="16">
                  <c:v>-0.26400000000000001</c:v>
                </c:pt>
                <c:pt idx="17">
                  <c:v>-0.26800000000000002</c:v>
                </c:pt>
                <c:pt idx="18">
                  <c:v>-0.27200000000000002</c:v>
                </c:pt>
                <c:pt idx="19">
                  <c:v>-0.27599999999999997</c:v>
                </c:pt>
                <c:pt idx="20">
                  <c:v>-0.27999999999999997</c:v>
                </c:pt>
                <c:pt idx="21">
                  <c:v>-0.28400000000000003</c:v>
                </c:pt>
                <c:pt idx="22">
                  <c:v>-0.28799999999999998</c:v>
                </c:pt>
                <c:pt idx="23">
                  <c:v>-0.29199999999999998</c:v>
                </c:pt>
                <c:pt idx="24">
                  <c:v>-0.29599999999999999</c:v>
                </c:pt>
                <c:pt idx="25">
                  <c:v>-0.3</c:v>
                </c:pt>
                <c:pt idx="26">
                  <c:v>-0.30399999999999999</c:v>
                </c:pt>
                <c:pt idx="27">
                  <c:v>-0.30800000000000005</c:v>
                </c:pt>
                <c:pt idx="28">
                  <c:v>-0.312</c:v>
                </c:pt>
                <c:pt idx="29">
                  <c:v>-0.31600000000000006</c:v>
                </c:pt>
                <c:pt idx="30">
                  <c:v>-0.32</c:v>
                </c:pt>
                <c:pt idx="31">
                  <c:v>-0.32399999999999995</c:v>
                </c:pt>
                <c:pt idx="32">
                  <c:v>-0.32800000000000001</c:v>
                </c:pt>
                <c:pt idx="33">
                  <c:v>-0.33200000000000002</c:v>
                </c:pt>
                <c:pt idx="34">
                  <c:v>-0.33600000000000008</c:v>
                </c:pt>
                <c:pt idx="35">
                  <c:v>-0.34</c:v>
                </c:pt>
                <c:pt idx="36">
                  <c:v>-0.34399999999999997</c:v>
                </c:pt>
                <c:pt idx="37">
                  <c:v>-0.34800000000000003</c:v>
                </c:pt>
                <c:pt idx="38">
                  <c:v>-0.35200000000000004</c:v>
                </c:pt>
                <c:pt idx="39">
                  <c:v>-0.35599999999999998</c:v>
                </c:pt>
                <c:pt idx="40">
                  <c:v>-0.36000000000000004</c:v>
                </c:pt>
                <c:pt idx="41">
                  <c:v>-0.36399999999999999</c:v>
                </c:pt>
                <c:pt idx="42">
                  <c:v>-0.36799999999999999</c:v>
                </c:pt>
                <c:pt idx="43">
                  <c:v>-0.372</c:v>
                </c:pt>
                <c:pt idx="44">
                  <c:v>-0.37600000000000006</c:v>
                </c:pt>
                <c:pt idx="45">
                  <c:v>-0.38000000000000006</c:v>
                </c:pt>
                <c:pt idx="46">
                  <c:v>-0.38400000000000006</c:v>
                </c:pt>
                <c:pt idx="47">
                  <c:v>-0.38800000000000001</c:v>
                </c:pt>
                <c:pt idx="48">
                  <c:v>-0.39200000000000002</c:v>
                </c:pt>
                <c:pt idx="49">
                  <c:v>-0.39600000000000002</c:v>
                </c:pt>
                <c:pt idx="50">
                  <c:v>-0.4</c:v>
                </c:pt>
                <c:pt idx="51">
                  <c:v>-0.40400000000000003</c:v>
                </c:pt>
                <c:pt idx="52">
                  <c:v>-0.40800000000000003</c:v>
                </c:pt>
                <c:pt idx="53">
                  <c:v>-0.41200000000000003</c:v>
                </c:pt>
                <c:pt idx="54">
                  <c:v>-0.41599999999999998</c:v>
                </c:pt>
                <c:pt idx="55">
                  <c:v>-0.42000000000000004</c:v>
                </c:pt>
                <c:pt idx="56">
                  <c:v>-0.42399999999999988</c:v>
                </c:pt>
                <c:pt idx="57">
                  <c:v>-0.4280000000000001</c:v>
                </c:pt>
                <c:pt idx="58">
                  <c:v>-0.432</c:v>
                </c:pt>
                <c:pt idx="59">
                  <c:v>-0.436</c:v>
                </c:pt>
                <c:pt idx="60">
                  <c:v>-0.44</c:v>
                </c:pt>
                <c:pt idx="61">
                  <c:v>-0.44399999999999995</c:v>
                </c:pt>
                <c:pt idx="62">
                  <c:v>-0.44800000000000006</c:v>
                </c:pt>
                <c:pt idx="63">
                  <c:v>-0.45200000000000007</c:v>
                </c:pt>
                <c:pt idx="64">
                  <c:v>-0.45599999999999996</c:v>
                </c:pt>
                <c:pt idx="65">
                  <c:v>-0.45999999999999996</c:v>
                </c:pt>
                <c:pt idx="66">
                  <c:v>-0.46400000000000002</c:v>
                </c:pt>
                <c:pt idx="67">
                  <c:v>-0.46800000000000003</c:v>
                </c:pt>
                <c:pt idx="68">
                  <c:v>-0.47200000000000003</c:v>
                </c:pt>
                <c:pt idx="69">
                  <c:v>-0.47600000000000003</c:v>
                </c:pt>
                <c:pt idx="70">
                  <c:v>-0.48000000000000004</c:v>
                </c:pt>
                <c:pt idx="71">
                  <c:v>-0.48399999999999999</c:v>
                </c:pt>
                <c:pt idx="72">
                  <c:v>-0.48800000000000004</c:v>
                </c:pt>
                <c:pt idx="73">
                  <c:v>-0.49199999999999999</c:v>
                </c:pt>
                <c:pt idx="74">
                  <c:v>-0.49600000000000011</c:v>
                </c:pt>
                <c:pt idx="75">
                  <c:v>-0.5</c:v>
                </c:pt>
                <c:pt idx="76">
                  <c:v>-0.504</c:v>
                </c:pt>
                <c:pt idx="77">
                  <c:v>-0.5079999999999999</c:v>
                </c:pt>
                <c:pt idx="78">
                  <c:v>-0.51200000000000001</c:v>
                </c:pt>
                <c:pt idx="79">
                  <c:v>-0.51600000000000001</c:v>
                </c:pt>
                <c:pt idx="80">
                  <c:v>-0.52</c:v>
                </c:pt>
                <c:pt idx="81">
                  <c:v>-0.52400000000000002</c:v>
                </c:pt>
                <c:pt idx="82">
                  <c:v>-0.52800000000000002</c:v>
                </c:pt>
                <c:pt idx="83">
                  <c:v>-0.53200000000000003</c:v>
                </c:pt>
                <c:pt idx="84">
                  <c:v>-0.53600000000000014</c:v>
                </c:pt>
                <c:pt idx="85">
                  <c:v>-0.54</c:v>
                </c:pt>
                <c:pt idx="86">
                  <c:v>-0.54400000000000004</c:v>
                </c:pt>
                <c:pt idx="87">
                  <c:v>-0.54800000000000004</c:v>
                </c:pt>
                <c:pt idx="88">
                  <c:v>-0.55199999999999994</c:v>
                </c:pt>
                <c:pt idx="89">
                  <c:v>-0.55600000000000005</c:v>
                </c:pt>
                <c:pt idx="90">
                  <c:v>-0.56000000000000005</c:v>
                </c:pt>
                <c:pt idx="91">
                  <c:v>-0.56400000000000006</c:v>
                </c:pt>
                <c:pt idx="92">
                  <c:v>-0.56800000000000006</c:v>
                </c:pt>
                <c:pt idx="93">
                  <c:v>-0.57200000000000006</c:v>
                </c:pt>
                <c:pt idx="94">
                  <c:v>-0.57599999999999996</c:v>
                </c:pt>
                <c:pt idx="95">
                  <c:v>-0.58000000000000018</c:v>
                </c:pt>
                <c:pt idx="96">
                  <c:v>-0.58399999999999996</c:v>
                </c:pt>
                <c:pt idx="97">
                  <c:v>-0.58800000000000008</c:v>
                </c:pt>
                <c:pt idx="98">
                  <c:v>-0.59199999999999997</c:v>
                </c:pt>
                <c:pt idx="99">
                  <c:v>-0.59599999999999997</c:v>
                </c:pt>
                <c:pt idx="100">
                  <c:v>-0.6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3590016"/>
        <c:axId val="133592192"/>
      </c:scatterChart>
      <c:valAx>
        <c:axId val="133590016"/>
        <c:scaling>
          <c:logBase val="10"/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% of Meters Range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3592192"/>
        <c:crosses val="autoZero"/>
        <c:crossBetween val="midCat"/>
      </c:valAx>
      <c:valAx>
        <c:axId val="1335921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Error %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359001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FMA-1600</a:t>
            </a:r>
            <a:r>
              <a:rPr lang="en-US" baseline="0"/>
              <a:t> Mass Flow Meter Error (SLPM)</a:t>
            </a:r>
            <a:endParaRPr lang="en-US"/>
          </a:p>
        </c:rich>
      </c:tx>
      <c:layout/>
      <c:overlay val="0"/>
      <c:spPr>
        <a:noFill/>
        <a:ln>
          <a:noFill/>
        </a:ln>
        <a:effectLst/>
      </c:spPr>
    </c:title>
    <c:autoTitleDeleted val="0"/>
    <c:plotArea>
      <c:layout/>
      <c:scatterChart>
        <c:scatterStyle val="lineMarker"/>
        <c:varyColors val="0"/>
        <c:ser>
          <c:idx val="1"/>
          <c:order val="0"/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dLbl>
              <c:idx val="100"/>
              <c:layout/>
              <c:dLblPos val="r"/>
              <c:showLegendKey val="0"/>
              <c:showVal val="1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Sheet1!$A$7:$A$107</c:f>
              <c:numCache>
                <c:formatCode>General</c:formatCode>
                <c:ptCount val="1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</c:numCache>
            </c:numRef>
          </c:xVal>
          <c:yVal>
            <c:numRef>
              <c:f>Sheet1!$C$7:$C$107</c:f>
              <c:numCache>
                <c:formatCode>General</c:formatCode>
                <c:ptCount val="101"/>
                <c:pt idx="0">
                  <c:v>0.08</c:v>
                </c:pt>
                <c:pt idx="1">
                  <c:v>8.1600000000000006E-2</c:v>
                </c:pt>
                <c:pt idx="2">
                  <c:v>8.3199999999999996E-2</c:v>
                </c:pt>
                <c:pt idx="3">
                  <c:v>8.48E-2</c:v>
                </c:pt>
                <c:pt idx="4">
                  <c:v>8.6400000000000005E-2</c:v>
                </c:pt>
                <c:pt idx="5">
                  <c:v>8.7999999999999995E-2</c:v>
                </c:pt>
                <c:pt idx="6">
                  <c:v>8.9599999999999999E-2</c:v>
                </c:pt>
                <c:pt idx="7">
                  <c:v>9.1200000000000003E-2</c:v>
                </c:pt>
                <c:pt idx="8">
                  <c:v>9.2800000000000007E-2</c:v>
                </c:pt>
                <c:pt idx="9">
                  <c:v>9.4399999999999998E-2</c:v>
                </c:pt>
                <c:pt idx="10">
                  <c:v>9.6000000000000002E-2</c:v>
                </c:pt>
                <c:pt idx="11">
                  <c:v>9.7600000000000006E-2</c:v>
                </c:pt>
                <c:pt idx="12">
                  <c:v>9.9199999999999997E-2</c:v>
                </c:pt>
                <c:pt idx="13">
                  <c:v>0.1008</c:v>
                </c:pt>
                <c:pt idx="14">
                  <c:v>0.10239999999999999</c:v>
                </c:pt>
                <c:pt idx="15">
                  <c:v>0.10400000000000001</c:v>
                </c:pt>
                <c:pt idx="16">
                  <c:v>0.1056</c:v>
                </c:pt>
                <c:pt idx="17">
                  <c:v>0.1072</c:v>
                </c:pt>
                <c:pt idx="18">
                  <c:v>0.10880000000000001</c:v>
                </c:pt>
                <c:pt idx="19">
                  <c:v>0.1104</c:v>
                </c:pt>
                <c:pt idx="20">
                  <c:v>0.112</c:v>
                </c:pt>
                <c:pt idx="21">
                  <c:v>0.11360000000000001</c:v>
                </c:pt>
                <c:pt idx="22">
                  <c:v>0.1152</c:v>
                </c:pt>
                <c:pt idx="23">
                  <c:v>0.1168</c:v>
                </c:pt>
                <c:pt idx="24">
                  <c:v>0.11840000000000001</c:v>
                </c:pt>
                <c:pt idx="25">
                  <c:v>0.12</c:v>
                </c:pt>
                <c:pt idx="26">
                  <c:v>0.1216</c:v>
                </c:pt>
                <c:pt idx="27">
                  <c:v>0.1232</c:v>
                </c:pt>
                <c:pt idx="28">
                  <c:v>0.12479999999999999</c:v>
                </c:pt>
                <c:pt idx="29">
                  <c:v>0.12640000000000001</c:v>
                </c:pt>
                <c:pt idx="30">
                  <c:v>0.128</c:v>
                </c:pt>
                <c:pt idx="31">
                  <c:v>0.12959999999999999</c:v>
                </c:pt>
                <c:pt idx="32">
                  <c:v>0.13120000000000001</c:v>
                </c:pt>
                <c:pt idx="33">
                  <c:v>0.1328</c:v>
                </c:pt>
                <c:pt idx="34">
                  <c:v>0.13440000000000002</c:v>
                </c:pt>
                <c:pt idx="35">
                  <c:v>0.13600000000000001</c:v>
                </c:pt>
                <c:pt idx="36">
                  <c:v>0.1376</c:v>
                </c:pt>
                <c:pt idx="37">
                  <c:v>0.13920000000000002</c:v>
                </c:pt>
                <c:pt idx="38">
                  <c:v>0.14080000000000001</c:v>
                </c:pt>
                <c:pt idx="39">
                  <c:v>0.1424</c:v>
                </c:pt>
                <c:pt idx="40">
                  <c:v>0.14400000000000002</c:v>
                </c:pt>
                <c:pt idx="41">
                  <c:v>0.14560000000000001</c:v>
                </c:pt>
                <c:pt idx="42">
                  <c:v>0.1472</c:v>
                </c:pt>
                <c:pt idx="43">
                  <c:v>0.14879999999999999</c:v>
                </c:pt>
                <c:pt idx="44">
                  <c:v>0.15040000000000001</c:v>
                </c:pt>
                <c:pt idx="45">
                  <c:v>0.15200000000000002</c:v>
                </c:pt>
                <c:pt idx="46">
                  <c:v>0.15360000000000001</c:v>
                </c:pt>
                <c:pt idx="47">
                  <c:v>0.1552</c:v>
                </c:pt>
                <c:pt idx="48">
                  <c:v>0.15679999999999999</c:v>
                </c:pt>
                <c:pt idx="49">
                  <c:v>0.15840000000000001</c:v>
                </c:pt>
                <c:pt idx="50">
                  <c:v>0.16</c:v>
                </c:pt>
                <c:pt idx="51">
                  <c:v>0.16160000000000002</c:v>
                </c:pt>
                <c:pt idx="52">
                  <c:v>0.16320000000000001</c:v>
                </c:pt>
                <c:pt idx="53">
                  <c:v>0.1648</c:v>
                </c:pt>
                <c:pt idx="54">
                  <c:v>0.16639999999999999</c:v>
                </c:pt>
                <c:pt idx="55">
                  <c:v>0.16800000000000001</c:v>
                </c:pt>
                <c:pt idx="56">
                  <c:v>0.16959999999999997</c:v>
                </c:pt>
                <c:pt idx="57">
                  <c:v>0.17120000000000002</c:v>
                </c:pt>
                <c:pt idx="58">
                  <c:v>0.17280000000000001</c:v>
                </c:pt>
                <c:pt idx="59">
                  <c:v>0.1744</c:v>
                </c:pt>
                <c:pt idx="60">
                  <c:v>0.17600000000000002</c:v>
                </c:pt>
                <c:pt idx="61">
                  <c:v>0.17759999999999998</c:v>
                </c:pt>
                <c:pt idx="62">
                  <c:v>0.17920000000000003</c:v>
                </c:pt>
                <c:pt idx="63">
                  <c:v>0.18080000000000002</c:v>
                </c:pt>
                <c:pt idx="64">
                  <c:v>0.18240000000000001</c:v>
                </c:pt>
                <c:pt idx="65">
                  <c:v>0.184</c:v>
                </c:pt>
                <c:pt idx="66">
                  <c:v>0.18559999999999999</c:v>
                </c:pt>
                <c:pt idx="67">
                  <c:v>0.18720000000000001</c:v>
                </c:pt>
                <c:pt idx="68">
                  <c:v>0.18880000000000002</c:v>
                </c:pt>
                <c:pt idx="69">
                  <c:v>0.19040000000000001</c:v>
                </c:pt>
                <c:pt idx="70">
                  <c:v>0.192</c:v>
                </c:pt>
                <c:pt idx="71">
                  <c:v>0.19359999999999999</c:v>
                </c:pt>
                <c:pt idx="72">
                  <c:v>0.19520000000000001</c:v>
                </c:pt>
                <c:pt idx="73">
                  <c:v>0.1968</c:v>
                </c:pt>
                <c:pt idx="74">
                  <c:v>0.19840000000000002</c:v>
                </c:pt>
                <c:pt idx="75">
                  <c:v>0.2</c:v>
                </c:pt>
                <c:pt idx="76">
                  <c:v>0.2016</c:v>
                </c:pt>
                <c:pt idx="77">
                  <c:v>0.20319999999999999</c:v>
                </c:pt>
                <c:pt idx="78">
                  <c:v>0.20480000000000001</c:v>
                </c:pt>
                <c:pt idx="79">
                  <c:v>0.20640000000000003</c:v>
                </c:pt>
                <c:pt idx="80">
                  <c:v>0.20800000000000002</c:v>
                </c:pt>
                <c:pt idx="81">
                  <c:v>0.20960000000000001</c:v>
                </c:pt>
                <c:pt idx="82">
                  <c:v>0.2112</c:v>
                </c:pt>
                <c:pt idx="83">
                  <c:v>0.21279999999999999</c:v>
                </c:pt>
                <c:pt idx="84">
                  <c:v>0.21440000000000003</c:v>
                </c:pt>
                <c:pt idx="85">
                  <c:v>0.21600000000000003</c:v>
                </c:pt>
                <c:pt idx="86">
                  <c:v>0.21760000000000002</c:v>
                </c:pt>
                <c:pt idx="87">
                  <c:v>0.21920000000000001</c:v>
                </c:pt>
                <c:pt idx="88">
                  <c:v>0.2208</c:v>
                </c:pt>
                <c:pt idx="89">
                  <c:v>0.22240000000000004</c:v>
                </c:pt>
                <c:pt idx="90">
                  <c:v>0.22400000000000003</c:v>
                </c:pt>
                <c:pt idx="91">
                  <c:v>0.22560000000000002</c:v>
                </c:pt>
                <c:pt idx="92">
                  <c:v>0.22720000000000001</c:v>
                </c:pt>
                <c:pt idx="93">
                  <c:v>0.2288</c:v>
                </c:pt>
                <c:pt idx="94">
                  <c:v>0.23039999999999999</c:v>
                </c:pt>
                <c:pt idx="95">
                  <c:v>0.23200000000000004</c:v>
                </c:pt>
                <c:pt idx="96">
                  <c:v>0.23359999999999997</c:v>
                </c:pt>
                <c:pt idx="97">
                  <c:v>0.23520000000000002</c:v>
                </c:pt>
                <c:pt idx="98">
                  <c:v>0.23680000000000001</c:v>
                </c:pt>
                <c:pt idx="99">
                  <c:v>0.2384</c:v>
                </c:pt>
                <c:pt idx="100">
                  <c:v>0.24</c:v>
                </c:pt>
              </c:numCache>
            </c:numRef>
          </c:yVal>
          <c:smooth val="0"/>
        </c:ser>
        <c:ser>
          <c:idx val="0"/>
          <c:order val="1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dLbl>
              <c:idx val="100"/>
              <c:layout/>
              <c:dLblPos val="r"/>
              <c:showLegendKey val="0"/>
              <c:showVal val="1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Sheet1!$A$7:$A$107</c:f>
              <c:numCache>
                <c:formatCode>General</c:formatCode>
                <c:ptCount val="1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</c:numCache>
            </c:numRef>
          </c:xVal>
          <c:yVal>
            <c:numRef>
              <c:f>Sheet1!$D$7:$D$107</c:f>
              <c:numCache>
                <c:formatCode>General</c:formatCode>
                <c:ptCount val="101"/>
                <c:pt idx="0">
                  <c:v>-0.08</c:v>
                </c:pt>
                <c:pt idx="1">
                  <c:v>-8.1600000000000006E-2</c:v>
                </c:pt>
                <c:pt idx="2">
                  <c:v>-8.3199999999999996E-2</c:v>
                </c:pt>
                <c:pt idx="3">
                  <c:v>-8.48E-2</c:v>
                </c:pt>
                <c:pt idx="4">
                  <c:v>-8.6400000000000005E-2</c:v>
                </c:pt>
                <c:pt idx="5">
                  <c:v>-8.7999999999999995E-2</c:v>
                </c:pt>
                <c:pt idx="6">
                  <c:v>-8.9599999999999999E-2</c:v>
                </c:pt>
                <c:pt idx="7">
                  <c:v>-9.1200000000000003E-2</c:v>
                </c:pt>
                <c:pt idx="8">
                  <c:v>-9.2800000000000007E-2</c:v>
                </c:pt>
                <c:pt idx="9">
                  <c:v>-9.4399999999999998E-2</c:v>
                </c:pt>
                <c:pt idx="10">
                  <c:v>-9.6000000000000002E-2</c:v>
                </c:pt>
                <c:pt idx="11">
                  <c:v>-9.7600000000000006E-2</c:v>
                </c:pt>
                <c:pt idx="12">
                  <c:v>-9.9199999999999997E-2</c:v>
                </c:pt>
                <c:pt idx="13">
                  <c:v>-0.1008</c:v>
                </c:pt>
                <c:pt idx="14">
                  <c:v>-0.10239999999999999</c:v>
                </c:pt>
                <c:pt idx="15">
                  <c:v>-0.10400000000000001</c:v>
                </c:pt>
                <c:pt idx="16">
                  <c:v>-0.1056</c:v>
                </c:pt>
                <c:pt idx="17">
                  <c:v>-0.1072</c:v>
                </c:pt>
                <c:pt idx="18">
                  <c:v>-0.10880000000000001</c:v>
                </c:pt>
                <c:pt idx="19">
                  <c:v>-0.1104</c:v>
                </c:pt>
                <c:pt idx="20">
                  <c:v>-0.112</c:v>
                </c:pt>
                <c:pt idx="21">
                  <c:v>-0.11360000000000001</c:v>
                </c:pt>
                <c:pt idx="22">
                  <c:v>-0.1152</c:v>
                </c:pt>
                <c:pt idx="23">
                  <c:v>-0.1168</c:v>
                </c:pt>
                <c:pt idx="24">
                  <c:v>-0.11840000000000001</c:v>
                </c:pt>
                <c:pt idx="25">
                  <c:v>-0.12</c:v>
                </c:pt>
                <c:pt idx="26">
                  <c:v>-0.1216</c:v>
                </c:pt>
                <c:pt idx="27">
                  <c:v>-0.1232</c:v>
                </c:pt>
                <c:pt idx="28">
                  <c:v>-0.12479999999999999</c:v>
                </c:pt>
                <c:pt idx="29">
                  <c:v>-0.12640000000000001</c:v>
                </c:pt>
                <c:pt idx="30">
                  <c:v>-0.128</c:v>
                </c:pt>
                <c:pt idx="31">
                  <c:v>-0.12959999999999999</c:v>
                </c:pt>
                <c:pt idx="32">
                  <c:v>-0.13120000000000001</c:v>
                </c:pt>
                <c:pt idx="33">
                  <c:v>-0.1328</c:v>
                </c:pt>
                <c:pt idx="34">
                  <c:v>-0.13440000000000002</c:v>
                </c:pt>
                <c:pt idx="35">
                  <c:v>-0.13600000000000001</c:v>
                </c:pt>
                <c:pt idx="36">
                  <c:v>-0.1376</c:v>
                </c:pt>
                <c:pt idx="37">
                  <c:v>-0.13920000000000002</c:v>
                </c:pt>
                <c:pt idx="38">
                  <c:v>-0.14080000000000001</c:v>
                </c:pt>
                <c:pt idx="39">
                  <c:v>-0.1424</c:v>
                </c:pt>
                <c:pt idx="40">
                  <c:v>-0.14400000000000002</c:v>
                </c:pt>
                <c:pt idx="41">
                  <c:v>-0.14560000000000001</c:v>
                </c:pt>
                <c:pt idx="42">
                  <c:v>-0.1472</c:v>
                </c:pt>
                <c:pt idx="43">
                  <c:v>-0.14879999999999999</c:v>
                </c:pt>
                <c:pt idx="44">
                  <c:v>-0.15040000000000001</c:v>
                </c:pt>
                <c:pt idx="45">
                  <c:v>-0.15200000000000002</c:v>
                </c:pt>
                <c:pt idx="46">
                  <c:v>-0.15360000000000001</c:v>
                </c:pt>
                <c:pt idx="47">
                  <c:v>-0.1552</c:v>
                </c:pt>
                <c:pt idx="48">
                  <c:v>-0.15679999999999999</c:v>
                </c:pt>
                <c:pt idx="49">
                  <c:v>-0.15840000000000001</c:v>
                </c:pt>
                <c:pt idx="50">
                  <c:v>-0.16</c:v>
                </c:pt>
                <c:pt idx="51">
                  <c:v>-0.16160000000000002</c:v>
                </c:pt>
                <c:pt idx="52">
                  <c:v>-0.16320000000000001</c:v>
                </c:pt>
                <c:pt idx="53">
                  <c:v>-0.1648</c:v>
                </c:pt>
                <c:pt idx="54">
                  <c:v>-0.16639999999999999</c:v>
                </c:pt>
                <c:pt idx="55">
                  <c:v>-0.16800000000000001</c:v>
                </c:pt>
                <c:pt idx="56">
                  <c:v>-0.16959999999999997</c:v>
                </c:pt>
                <c:pt idx="57">
                  <c:v>-0.17120000000000002</c:v>
                </c:pt>
                <c:pt idx="58">
                  <c:v>-0.17280000000000001</c:v>
                </c:pt>
                <c:pt idx="59">
                  <c:v>-0.1744</c:v>
                </c:pt>
                <c:pt idx="60">
                  <c:v>-0.17600000000000002</c:v>
                </c:pt>
                <c:pt idx="61">
                  <c:v>-0.17759999999999998</c:v>
                </c:pt>
                <c:pt idx="62">
                  <c:v>-0.17920000000000003</c:v>
                </c:pt>
                <c:pt idx="63">
                  <c:v>-0.18080000000000002</c:v>
                </c:pt>
                <c:pt idx="64">
                  <c:v>-0.18240000000000001</c:v>
                </c:pt>
                <c:pt idx="65">
                  <c:v>-0.184</c:v>
                </c:pt>
                <c:pt idx="66">
                  <c:v>-0.18559999999999999</c:v>
                </c:pt>
                <c:pt idx="67">
                  <c:v>-0.18720000000000001</c:v>
                </c:pt>
                <c:pt idx="68">
                  <c:v>-0.18880000000000002</c:v>
                </c:pt>
                <c:pt idx="69">
                  <c:v>-0.19040000000000001</c:v>
                </c:pt>
                <c:pt idx="70">
                  <c:v>-0.192</c:v>
                </c:pt>
                <c:pt idx="71">
                  <c:v>-0.19359999999999999</c:v>
                </c:pt>
                <c:pt idx="72">
                  <c:v>-0.19520000000000001</c:v>
                </c:pt>
                <c:pt idx="73">
                  <c:v>-0.1968</c:v>
                </c:pt>
                <c:pt idx="74">
                  <c:v>-0.19840000000000002</c:v>
                </c:pt>
                <c:pt idx="75">
                  <c:v>-0.2</c:v>
                </c:pt>
                <c:pt idx="76">
                  <c:v>-0.2016</c:v>
                </c:pt>
                <c:pt idx="77">
                  <c:v>-0.20319999999999999</c:v>
                </c:pt>
                <c:pt idx="78">
                  <c:v>-0.20480000000000001</c:v>
                </c:pt>
                <c:pt idx="79">
                  <c:v>-0.20640000000000003</c:v>
                </c:pt>
                <c:pt idx="80">
                  <c:v>-0.20800000000000002</c:v>
                </c:pt>
                <c:pt idx="81">
                  <c:v>-0.20960000000000001</c:v>
                </c:pt>
                <c:pt idx="82">
                  <c:v>-0.2112</c:v>
                </c:pt>
                <c:pt idx="83">
                  <c:v>-0.21279999999999999</c:v>
                </c:pt>
                <c:pt idx="84">
                  <c:v>-0.21440000000000003</c:v>
                </c:pt>
                <c:pt idx="85">
                  <c:v>-0.21600000000000003</c:v>
                </c:pt>
                <c:pt idx="86">
                  <c:v>-0.21760000000000002</c:v>
                </c:pt>
                <c:pt idx="87">
                  <c:v>-0.21920000000000001</c:v>
                </c:pt>
                <c:pt idx="88">
                  <c:v>-0.2208</c:v>
                </c:pt>
                <c:pt idx="89">
                  <c:v>-0.22240000000000004</c:v>
                </c:pt>
                <c:pt idx="90">
                  <c:v>-0.22400000000000003</c:v>
                </c:pt>
                <c:pt idx="91">
                  <c:v>-0.22560000000000002</c:v>
                </c:pt>
                <c:pt idx="92">
                  <c:v>-0.22720000000000001</c:v>
                </c:pt>
                <c:pt idx="93">
                  <c:v>-0.2288</c:v>
                </c:pt>
                <c:pt idx="94">
                  <c:v>-0.23039999999999999</c:v>
                </c:pt>
                <c:pt idx="95">
                  <c:v>-0.23200000000000004</c:v>
                </c:pt>
                <c:pt idx="96">
                  <c:v>-0.23359999999999997</c:v>
                </c:pt>
                <c:pt idx="97">
                  <c:v>-0.23520000000000002</c:v>
                </c:pt>
                <c:pt idx="98">
                  <c:v>-0.23680000000000001</c:v>
                </c:pt>
                <c:pt idx="99">
                  <c:v>-0.2384</c:v>
                </c:pt>
                <c:pt idx="100">
                  <c:v>-0.24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3377408"/>
        <c:axId val="133383680"/>
      </c:scatterChart>
      <c:valAx>
        <c:axId val="133377408"/>
        <c:scaling>
          <c:logBase val="10"/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% of Meters Range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3383680"/>
        <c:crosses val="autoZero"/>
        <c:crossBetween val="midCat"/>
      </c:valAx>
      <c:valAx>
        <c:axId val="1333836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Error SLPM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337740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FMA-1600</a:t>
            </a:r>
            <a:r>
              <a:rPr lang="en-US" baseline="0"/>
              <a:t> Mass Flow Meter Error (%of Reading)</a:t>
            </a:r>
            <a:endParaRPr lang="en-US"/>
          </a:p>
        </c:rich>
      </c:tx>
      <c:layout/>
      <c:overlay val="0"/>
      <c:spPr>
        <a:noFill/>
        <a:ln>
          <a:noFill/>
        </a:ln>
        <a:effectLst/>
      </c:spPr>
    </c:title>
    <c:autoTitleDeleted val="0"/>
    <c:plotArea>
      <c:layout/>
      <c:scatterChart>
        <c:scatterStyle val="lineMarker"/>
        <c:varyColors val="0"/>
        <c:ser>
          <c:idx val="1"/>
          <c:order val="0"/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Sheet1!$A$8:$A$107</c:f>
              <c:numCache>
                <c:formatCode>General</c:formatCode>
                <c:ptCount val="10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</c:numCache>
            </c:numRef>
          </c:xVal>
          <c:yVal>
            <c:numRef>
              <c:f>Sheet1!$E$8:$E$107</c:f>
              <c:numCache>
                <c:formatCode>0.00</c:formatCode>
                <c:ptCount val="100"/>
                <c:pt idx="0">
                  <c:v>20.400000000000002</c:v>
                </c:pt>
                <c:pt idx="1">
                  <c:v>10.4</c:v>
                </c:pt>
                <c:pt idx="2">
                  <c:v>7.0666666666666673</c:v>
                </c:pt>
                <c:pt idx="3">
                  <c:v>5.4</c:v>
                </c:pt>
                <c:pt idx="4">
                  <c:v>4.3999999999999995</c:v>
                </c:pt>
                <c:pt idx="5">
                  <c:v>3.7333333333333338</c:v>
                </c:pt>
                <c:pt idx="6">
                  <c:v>3.2571428571428576</c:v>
                </c:pt>
                <c:pt idx="7">
                  <c:v>2.9000000000000004</c:v>
                </c:pt>
                <c:pt idx="8">
                  <c:v>2.6222222222222218</c:v>
                </c:pt>
                <c:pt idx="9">
                  <c:v>2.4</c:v>
                </c:pt>
                <c:pt idx="10">
                  <c:v>2.2181818181818183</c:v>
                </c:pt>
                <c:pt idx="11">
                  <c:v>2.0666666666666664</c:v>
                </c:pt>
                <c:pt idx="12">
                  <c:v>1.9384615384615385</c:v>
                </c:pt>
                <c:pt idx="13">
                  <c:v>1.8285714285714283</c:v>
                </c:pt>
                <c:pt idx="14">
                  <c:v>1.7333333333333336</c:v>
                </c:pt>
                <c:pt idx="15">
                  <c:v>1.6499999999999997</c:v>
                </c:pt>
                <c:pt idx="16">
                  <c:v>1.5764705882352941</c:v>
                </c:pt>
                <c:pt idx="17">
                  <c:v>1.5111111111111111</c:v>
                </c:pt>
                <c:pt idx="18">
                  <c:v>1.4526315789473685</c:v>
                </c:pt>
                <c:pt idx="19">
                  <c:v>1.4000000000000001</c:v>
                </c:pt>
                <c:pt idx="20">
                  <c:v>1.3523809523809525</c:v>
                </c:pt>
                <c:pt idx="21">
                  <c:v>1.3090909090909089</c:v>
                </c:pt>
                <c:pt idx="22">
                  <c:v>1.2695652173913046</c:v>
                </c:pt>
                <c:pt idx="23">
                  <c:v>1.2333333333333334</c:v>
                </c:pt>
                <c:pt idx="24">
                  <c:v>1.2</c:v>
                </c:pt>
                <c:pt idx="25">
                  <c:v>1.1692307692307691</c:v>
                </c:pt>
                <c:pt idx="26">
                  <c:v>1.1407407407407408</c:v>
                </c:pt>
                <c:pt idx="27">
                  <c:v>1.1142857142857143</c:v>
                </c:pt>
                <c:pt idx="28">
                  <c:v>1.0896551724137933</c:v>
                </c:pt>
                <c:pt idx="29">
                  <c:v>1.0666666666666667</c:v>
                </c:pt>
                <c:pt idx="30">
                  <c:v>1.0451612903225806</c:v>
                </c:pt>
                <c:pt idx="31">
                  <c:v>1.0250000000000001</c:v>
                </c:pt>
                <c:pt idx="32">
                  <c:v>1.0060606060606061</c:v>
                </c:pt>
                <c:pt idx="33">
                  <c:v>0.98823529411764721</c:v>
                </c:pt>
                <c:pt idx="34">
                  <c:v>0.97142857142857153</c:v>
                </c:pt>
                <c:pt idx="35">
                  <c:v>0.95555555555555549</c:v>
                </c:pt>
                <c:pt idx="36">
                  <c:v>0.94054054054054059</c:v>
                </c:pt>
                <c:pt idx="37">
                  <c:v>0.92631578947368431</c:v>
                </c:pt>
                <c:pt idx="38">
                  <c:v>0.91282051282051291</c:v>
                </c:pt>
                <c:pt idx="39">
                  <c:v>0.90000000000000013</c:v>
                </c:pt>
                <c:pt idx="40">
                  <c:v>0.88780487804878061</c:v>
                </c:pt>
                <c:pt idx="41">
                  <c:v>0.87619047619047608</c:v>
                </c:pt>
                <c:pt idx="42">
                  <c:v>0.8651162790697674</c:v>
                </c:pt>
                <c:pt idx="43">
                  <c:v>0.8545454545454545</c:v>
                </c:pt>
                <c:pt idx="44">
                  <c:v>0.84444444444444455</c:v>
                </c:pt>
                <c:pt idx="45">
                  <c:v>0.83478260869565224</c:v>
                </c:pt>
                <c:pt idx="46">
                  <c:v>0.82553191489361699</c:v>
                </c:pt>
                <c:pt idx="47">
                  <c:v>0.81666666666666676</c:v>
                </c:pt>
                <c:pt idx="48">
                  <c:v>0.80816326530612248</c:v>
                </c:pt>
                <c:pt idx="49">
                  <c:v>0.8</c:v>
                </c:pt>
                <c:pt idx="50">
                  <c:v>0.79215686274509822</c:v>
                </c:pt>
                <c:pt idx="51">
                  <c:v>0.7846153846153846</c:v>
                </c:pt>
                <c:pt idx="52">
                  <c:v>0.77735849056603779</c:v>
                </c:pt>
                <c:pt idx="53">
                  <c:v>0.77037037037037026</c:v>
                </c:pt>
                <c:pt idx="54">
                  <c:v>0.76363636363636367</c:v>
                </c:pt>
                <c:pt idx="55">
                  <c:v>0.75714285714285712</c:v>
                </c:pt>
                <c:pt idx="56">
                  <c:v>0.75087719298245625</c:v>
                </c:pt>
                <c:pt idx="57">
                  <c:v>0.7448275862068966</c:v>
                </c:pt>
                <c:pt idx="58">
                  <c:v>0.73898305084745763</c:v>
                </c:pt>
                <c:pt idx="59">
                  <c:v>0.73333333333333339</c:v>
                </c:pt>
                <c:pt idx="60">
                  <c:v>0.72786885245901634</c:v>
                </c:pt>
                <c:pt idx="61">
                  <c:v>0.72258064516129039</c:v>
                </c:pt>
                <c:pt idx="62">
                  <c:v>0.71746031746031758</c:v>
                </c:pt>
                <c:pt idx="63">
                  <c:v>0.71250000000000002</c:v>
                </c:pt>
                <c:pt idx="64">
                  <c:v>0.70769230769230773</c:v>
                </c:pt>
                <c:pt idx="65">
                  <c:v>0.70303030303030301</c:v>
                </c:pt>
                <c:pt idx="66">
                  <c:v>0.69850746268656716</c:v>
                </c:pt>
                <c:pt idx="67">
                  <c:v>0.69411764705882362</c:v>
                </c:pt>
                <c:pt idx="68">
                  <c:v>0.68985507246376809</c:v>
                </c:pt>
                <c:pt idx="69">
                  <c:v>0.68571428571428572</c:v>
                </c:pt>
                <c:pt idx="70">
                  <c:v>0.6816901408450704</c:v>
                </c:pt>
                <c:pt idx="71">
                  <c:v>0.67777777777777781</c:v>
                </c:pt>
                <c:pt idx="72">
                  <c:v>0.67397260273972603</c:v>
                </c:pt>
                <c:pt idx="73">
                  <c:v>0.67027027027027031</c:v>
                </c:pt>
                <c:pt idx="74">
                  <c:v>0.66666666666666674</c:v>
                </c:pt>
                <c:pt idx="75">
                  <c:v>0.66315789473684217</c:v>
                </c:pt>
                <c:pt idx="76">
                  <c:v>0.65974025974025963</c:v>
                </c:pt>
                <c:pt idx="77">
                  <c:v>0.65641025641025641</c:v>
                </c:pt>
                <c:pt idx="78">
                  <c:v>0.65316455696202536</c:v>
                </c:pt>
                <c:pt idx="79">
                  <c:v>0.65</c:v>
                </c:pt>
                <c:pt idx="80">
                  <c:v>0.64691358024691359</c:v>
                </c:pt>
                <c:pt idx="81">
                  <c:v>0.64390243902439026</c:v>
                </c:pt>
                <c:pt idx="82">
                  <c:v>0.64096385542168666</c:v>
                </c:pt>
                <c:pt idx="83">
                  <c:v>0.63809523809523816</c:v>
                </c:pt>
                <c:pt idx="84">
                  <c:v>0.6352941176470589</c:v>
                </c:pt>
                <c:pt idx="85">
                  <c:v>0.63255813953488382</c:v>
                </c:pt>
                <c:pt idx="86">
                  <c:v>0.62988505747126444</c:v>
                </c:pt>
                <c:pt idx="87">
                  <c:v>0.6272727272727272</c:v>
                </c:pt>
                <c:pt idx="88">
                  <c:v>0.62471910112359552</c:v>
                </c:pt>
                <c:pt idx="89">
                  <c:v>0.62222222222222223</c:v>
                </c:pt>
                <c:pt idx="90">
                  <c:v>0.61978021978021991</c:v>
                </c:pt>
                <c:pt idx="91">
                  <c:v>0.61739130434782619</c:v>
                </c:pt>
                <c:pt idx="92">
                  <c:v>0.61505376344086016</c:v>
                </c:pt>
                <c:pt idx="93">
                  <c:v>0.61276595744680851</c:v>
                </c:pt>
                <c:pt idx="94">
                  <c:v>0.61052631578947381</c:v>
                </c:pt>
                <c:pt idx="95">
                  <c:v>0.60833333333333328</c:v>
                </c:pt>
                <c:pt idx="96">
                  <c:v>0.60618556701030935</c:v>
                </c:pt>
                <c:pt idx="97">
                  <c:v>0.60408163265306114</c:v>
                </c:pt>
                <c:pt idx="98">
                  <c:v>0.60202020202020201</c:v>
                </c:pt>
                <c:pt idx="99">
                  <c:v>0.6</c:v>
                </c:pt>
              </c:numCache>
            </c:numRef>
          </c:yVal>
          <c:smooth val="0"/>
        </c:ser>
        <c:ser>
          <c:idx val="0"/>
          <c:order val="1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Sheet1!$A$8:$A$107</c:f>
              <c:numCache>
                <c:formatCode>General</c:formatCode>
                <c:ptCount val="10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</c:numCache>
            </c:numRef>
          </c:xVal>
          <c:yVal>
            <c:numRef>
              <c:f>Sheet1!$F$8:$F$107</c:f>
              <c:numCache>
                <c:formatCode>0.00</c:formatCode>
                <c:ptCount val="100"/>
                <c:pt idx="0">
                  <c:v>-20.400000000000002</c:v>
                </c:pt>
                <c:pt idx="1">
                  <c:v>-10.4</c:v>
                </c:pt>
                <c:pt idx="2">
                  <c:v>-7.0666666666666673</c:v>
                </c:pt>
                <c:pt idx="3">
                  <c:v>-5.4</c:v>
                </c:pt>
                <c:pt idx="4">
                  <c:v>-4.3999999999999995</c:v>
                </c:pt>
                <c:pt idx="5">
                  <c:v>-3.7333333333333338</c:v>
                </c:pt>
                <c:pt idx="6">
                  <c:v>-3.2571428571428576</c:v>
                </c:pt>
                <c:pt idx="7">
                  <c:v>-2.9000000000000004</c:v>
                </c:pt>
                <c:pt idx="8">
                  <c:v>-2.6222222222222218</c:v>
                </c:pt>
                <c:pt idx="9">
                  <c:v>-2.4</c:v>
                </c:pt>
                <c:pt idx="10">
                  <c:v>-2.2181818181818183</c:v>
                </c:pt>
                <c:pt idx="11">
                  <c:v>-2.0666666666666664</c:v>
                </c:pt>
                <c:pt idx="12">
                  <c:v>-1.9384615384615385</c:v>
                </c:pt>
                <c:pt idx="13">
                  <c:v>-1.8285714285714283</c:v>
                </c:pt>
                <c:pt idx="14">
                  <c:v>-1.7333333333333336</c:v>
                </c:pt>
                <c:pt idx="15">
                  <c:v>-1.6499999999999997</c:v>
                </c:pt>
                <c:pt idx="16">
                  <c:v>-1.5764705882352941</c:v>
                </c:pt>
                <c:pt idx="17">
                  <c:v>-1.5111111111111111</c:v>
                </c:pt>
                <c:pt idx="18">
                  <c:v>-1.4526315789473685</c:v>
                </c:pt>
                <c:pt idx="19">
                  <c:v>-1.4000000000000001</c:v>
                </c:pt>
                <c:pt idx="20">
                  <c:v>-1.3523809523809525</c:v>
                </c:pt>
                <c:pt idx="21">
                  <c:v>-1.3090909090909089</c:v>
                </c:pt>
                <c:pt idx="22">
                  <c:v>-1.2695652173913046</c:v>
                </c:pt>
                <c:pt idx="23">
                  <c:v>-1.2333333333333334</c:v>
                </c:pt>
                <c:pt idx="24">
                  <c:v>-1.2</c:v>
                </c:pt>
                <c:pt idx="25">
                  <c:v>-1.1692307692307691</c:v>
                </c:pt>
                <c:pt idx="26">
                  <c:v>-1.1407407407407408</c:v>
                </c:pt>
                <c:pt idx="27">
                  <c:v>-1.1142857142857143</c:v>
                </c:pt>
                <c:pt idx="28">
                  <c:v>-1.0896551724137933</c:v>
                </c:pt>
                <c:pt idx="29">
                  <c:v>-1.0666666666666667</c:v>
                </c:pt>
                <c:pt idx="30">
                  <c:v>-1.0451612903225806</c:v>
                </c:pt>
                <c:pt idx="31">
                  <c:v>-1.0250000000000001</c:v>
                </c:pt>
                <c:pt idx="32">
                  <c:v>-1.0060606060606061</c:v>
                </c:pt>
                <c:pt idx="33">
                  <c:v>-0.98823529411764721</c:v>
                </c:pt>
                <c:pt idx="34">
                  <c:v>-0.97142857142857153</c:v>
                </c:pt>
                <c:pt idx="35">
                  <c:v>-0.95555555555555549</c:v>
                </c:pt>
                <c:pt idx="36">
                  <c:v>-0.94054054054054059</c:v>
                </c:pt>
                <c:pt idx="37">
                  <c:v>-0.92631578947368431</c:v>
                </c:pt>
                <c:pt idx="38">
                  <c:v>-0.91282051282051291</c:v>
                </c:pt>
                <c:pt idx="39">
                  <c:v>-0.90000000000000013</c:v>
                </c:pt>
                <c:pt idx="40">
                  <c:v>-0.88780487804878061</c:v>
                </c:pt>
                <c:pt idx="41">
                  <c:v>-0.87619047619047608</c:v>
                </c:pt>
                <c:pt idx="42">
                  <c:v>-0.8651162790697674</c:v>
                </c:pt>
                <c:pt idx="43">
                  <c:v>-0.8545454545454545</c:v>
                </c:pt>
                <c:pt idx="44">
                  <c:v>-0.84444444444444455</c:v>
                </c:pt>
                <c:pt idx="45">
                  <c:v>-0.83478260869565224</c:v>
                </c:pt>
                <c:pt idx="46">
                  <c:v>-0.82553191489361699</c:v>
                </c:pt>
                <c:pt idx="47">
                  <c:v>-0.81666666666666676</c:v>
                </c:pt>
                <c:pt idx="48">
                  <c:v>-0.80816326530612248</c:v>
                </c:pt>
                <c:pt idx="49">
                  <c:v>-0.8</c:v>
                </c:pt>
                <c:pt idx="50">
                  <c:v>-0.79215686274509822</c:v>
                </c:pt>
                <c:pt idx="51">
                  <c:v>-0.7846153846153846</c:v>
                </c:pt>
                <c:pt idx="52">
                  <c:v>-0.77735849056603779</c:v>
                </c:pt>
                <c:pt idx="53">
                  <c:v>-0.77037037037037026</c:v>
                </c:pt>
                <c:pt idx="54">
                  <c:v>-0.76363636363636367</c:v>
                </c:pt>
                <c:pt idx="55">
                  <c:v>-0.75714285714285712</c:v>
                </c:pt>
                <c:pt idx="56">
                  <c:v>-0.75087719298245625</c:v>
                </c:pt>
                <c:pt idx="57">
                  <c:v>-0.7448275862068966</c:v>
                </c:pt>
                <c:pt idx="58">
                  <c:v>-0.73898305084745763</c:v>
                </c:pt>
                <c:pt idx="59">
                  <c:v>-0.73333333333333339</c:v>
                </c:pt>
                <c:pt idx="60">
                  <c:v>-0.72786885245901634</c:v>
                </c:pt>
                <c:pt idx="61">
                  <c:v>-0.72258064516129039</c:v>
                </c:pt>
                <c:pt idx="62">
                  <c:v>-0.71746031746031758</c:v>
                </c:pt>
                <c:pt idx="63">
                  <c:v>-0.71250000000000002</c:v>
                </c:pt>
                <c:pt idx="64">
                  <c:v>-0.70769230769230773</c:v>
                </c:pt>
                <c:pt idx="65">
                  <c:v>-0.70303030303030301</c:v>
                </c:pt>
                <c:pt idx="66">
                  <c:v>-0.69850746268656716</c:v>
                </c:pt>
                <c:pt idx="67">
                  <c:v>-0.69411764705882362</c:v>
                </c:pt>
                <c:pt idx="68">
                  <c:v>-0.68985507246376809</c:v>
                </c:pt>
                <c:pt idx="69">
                  <c:v>-0.68571428571428572</c:v>
                </c:pt>
                <c:pt idx="70">
                  <c:v>-0.6816901408450704</c:v>
                </c:pt>
                <c:pt idx="71">
                  <c:v>-0.67777777777777781</c:v>
                </c:pt>
                <c:pt idx="72">
                  <c:v>-0.67397260273972603</c:v>
                </c:pt>
                <c:pt idx="73">
                  <c:v>-0.67027027027027031</c:v>
                </c:pt>
                <c:pt idx="74">
                  <c:v>-0.66666666666666674</c:v>
                </c:pt>
                <c:pt idx="75">
                  <c:v>-0.66315789473684217</c:v>
                </c:pt>
                <c:pt idx="76">
                  <c:v>-0.65974025974025963</c:v>
                </c:pt>
                <c:pt idx="77">
                  <c:v>-0.65641025641025641</c:v>
                </c:pt>
                <c:pt idx="78">
                  <c:v>-0.65316455696202536</c:v>
                </c:pt>
                <c:pt idx="79">
                  <c:v>-0.65</c:v>
                </c:pt>
                <c:pt idx="80">
                  <c:v>-0.64691358024691359</c:v>
                </c:pt>
                <c:pt idx="81">
                  <c:v>-0.64390243902439026</c:v>
                </c:pt>
                <c:pt idx="82">
                  <c:v>-0.64096385542168666</c:v>
                </c:pt>
                <c:pt idx="83">
                  <c:v>-0.63809523809523816</c:v>
                </c:pt>
                <c:pt idx="84">
                  <c:v>-0.6352941176470589</c:v>
                </c:pt>
                <c:pt idx="85">
                  <c:v>-0.63255813953488382</c:v>
                </c:pt>
                <c:pt idx="86">
                  <c:v>-0.62988505747126444</c:v>
                </c:pt>
                <c:pt idx="87">
                  <c:v>-0.6272727272727272</c:v>
                </c:pt>
                <c:pt idx="88">
                  <c:v>-0.62471910112359552</c:v>
                </c:pt>
                <c:pt idx="89">
                  <c:v>-0.62222222222222223</c:v>
                </c:pt>
                <c:pt idx="90">
                  <c:v>-0.61978021978021991</c:v>
                </c:pt>
                <c:pt idx="91">
                  <c:v>-0.61739130434782619</c:v>
                </c:pt>
                <c:pt idx="92">
                  <c:v>-0.61505376344086016</c:v>
                </c:pt>
                <c:pt idx="93">
                  <c:v>-0.61276595744680851</c:v>
                </c:pt>
                <c:pt idx="94">
                  <c:v>-0.61052631578947381</c:v>
                </c:pt>
                <c:pt idx="95">
                  <c:v>-0.60833333333333328</c:v>
                </c:pt>
                <c:pt idx="96">
                  <c:v>-0.60618556701030935</c:v>
                </c:pt>
                <c:pt idx="97">
                  <c:v>-0.60408163265306114</c:v>
                </c:pt>
                <c:pt idx="98">
                  <c:v>-0.60202020202020201</c:v>
                </c:pt>
                <c:pt idx="99">
                  <c:v>-0.6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8365952"/>
        <c:axId val="138368128"/>
      </c:scatterChart>
      <c:valAx>
        <c:axId val="138365952"/>
        <c:scaling>
          <c:logBase val="10"/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% of Meters Range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8368128"/>
        <c:crosses val="autoZero"/>
        <c:crossBetween val="midCat"/>
      </c:valAx>
      <c:valAx>
        <c:axId val="1383681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Error SLPM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836595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95249</xdr:colOff>
      <xdr:row>7</xdr:row>
      <xdr:rowOff>76200</xdr:rowOff>
    </xdr:from>
    <xdr:to>
      <xdr:col>18</xdr:col>
      <xdr:colOff>85725</xdr:colOff>
      <xdr:row>22</xdr:row>
      <xdr:rowOff>47626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8</xdr:col>
      <xdr:colOff>95251</xdr:colOff>
      <xdr:row>22</xdr:row>
      <xdr:rowOff>85726</xdr:rowOff>
    </xdr:from>
    <xdr:to>
      <xdr:col>17</xdr:col>
      <xdr:colOff>476251</xdr:colOff>
      <xdr:row>41</xdr:row>
      <xdr:rowOff>0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8</xdr:col>
      <xdr:colOff>85725</xdr:colOff>
      <xdr:row>0</xdr:row>
      <xdr:rowOff>47625</xdr:rowOff>
    </xdr:from>
    <xdr:to>
      <xdr:col>16</xdr:col>
      <xdr:colOff>171450</xdr:colOff>
      <xdr:row>7</xdr:row>
      <xdr:rowOff>66674</xdr:rowOff>
    </xdr:to>
    <xdr:sp macro="" textlink="">
      <xdr:nvSpPr>
        <xdr:cNvPr id="4" name="TextBox 3"/>
        <xdr:cNvSpPr txBox="1"/>
      </xdr:nvSpPr>
      <xdr:spPr>
        <a:xfrm>
          <a:off x="8934450" y="47625"/>
          <a:ext cx="4962525" cy="1352549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/>
            <a:t>Totalizer accuracy</a:t>
          </a:r>
          <a:r>
            <a:rPr lang="en-US" sz="1100" baseline="0"/>
            <a:t> is identical. Therefore, 50 liters of gas will be +/- 1%.</a:t>
          </a:r>
        </a:p>
        <a:p>
          <a:endParaRPr lang="en-US" sz="1100" baseline="0"/>
        </a:p>
        <a:p>
          <a:r>
            <a:rPr lang="en-US" sz="1100" baseline="0"/>
            <a:t>With 9999.99L (6 digit display) accuracy will be +/- 99.999 L </a:t>
          </a:r>
        </a:p>
        <a:p>
          <a:r>
            <a:rPr lang="en-US" sz="1100" baseline="0"/>
            <a:t>I need the 0.4/0.2 % accuracy for DOE. The spec calls for 1%. Want to be better.</a:t>
          </a:r>
        </a:p>
        <a:p>
          <a:endParaRPr lang="en-US" sz="1100" baseline="0"/>
        </a:p>
        <a:p>
          <a:r>
            <a:rPr lang="en-US" sz="1100" baseline="0"/>
            <a:t>At 50LPM and 9999.99 Total resolution. The Range can run for 200 min without reset</a:t>
          </a:r>
          <a:endParaRPr lang="en-US" sz="1100"/>
        </a:p>
      </xdr:txBody>
    </xdr:sp>
    <xdr:clientData/>
  </xdr:twoCellAnchor>
  <xdr:twoCellAnchor>
    <xdr:from>
      <xdr:col>8</xdr:col>
      <xdr:colOff>85725</xdr:colOff>
      <xdr:row>41</xdr:row>
      <xdr:rowOff>38100</xdr:rowOff>
    </xdr:from>
    <xdr:to>
      <xdr:col>17</xdr:col>
      <xdr:colOff>466725</xdr:colOff>
      <xdr:row>59</xdr:row>
      <xdr:rowOff>142874</xdr:rowOff>
    </xdr:to>
    <xdr:graphicFrame macro="">
      <xdr:nvGraphicFramePr>
        <xdr:cNvPr id="5" name="Chart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xmlns="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H107"/>
  <sheetViews>
    <sheetView tabSelected="1" workbookViewId="0">
      <pane ySplit="6" topLeftCell="A7" activePane="bottomLeft" state="frozen"/>
      <selection pane="bottomLeft" activeCell="U27" sqref="U27"/>
    </sheetView>
  </sheetViews>
  <sheetFormatPr defaultRowHeight="15" x14ac:dyDescent="0.25"/>
  <cols>
    <col min="1" max="1" width="17.7109375" bestFit="1" customWidth="1"/>
    <col min="2" max="2" width="16.7109375" customWidth="1"/>
    <col min="3" max="3" width="12.85546875" bestFit="1" customWidth="1"/>
    <col min="4" max="4" width="12.5703125" bestFit="1" customWidth="1"/>
    <col min="5" max="5" width="18" bestFit="1" customWidth="1"/>
    <col min="6" max="6" width="17.28515625" bestFit="1" customWidth="1"/>
    <col min="7" max="7" width="19.140625" bestFit="1" customWidth="1"/>
    <col min="8" max="8" width="18.42578125" bestFit="1" customWidth="1"/>
  </cols>
  <sheetData>
    <row r="1" spans="1:8" x14ac:dyDescent="0.25">
      <c r="A1" s="1"/>
      <c r="B1" s="1" t="s">
        <v>2</v>
      </c>
    </row>
    <row r="2" spans="1:8" x14ac:dyDescent="0.25">
      <c r="A2" s="1" t="s">
        <v>1</v>
      </c>
      <c r="B2" s="2">
        <v>40</v>
      </c>
    </row>
    <row r="3" spans="1:8" x14ac:dyDescent="0.25">
      <c r="A3" s="1" t="s">
        <v>3</v>
      </c>
      <c r="B3" s="2">
        <v>0.4</v>
      </c>
    </row>
    <row r="4" spans="1:8" x14ac:dyDescent="0.25">
      <c r="A4" s="1" t="s">
        <v>4</v>
      </c>
      <c r="B4" s="2">
        <v>0.2</v>
      </c>
    </row>
    <row r="5" spans="1:8" ht="36.75" customHeight="1" x14ac:dyDescent="0.25">
      <c r="G5" s="10" t="s">
        <v>11</v>
      </c>
      <c r="H5" s="11"/>
    </row>
    <row r="6" spans="1:8" x14ac:dyDescent="0.25">
      <c r="A6" s="1" t="s">
        <v>0</v>
      </c>
      <c r="B6" s="1" t="s">
        <v>2</v>
      </c>
      <c r="C6" s="1" t="s">
        <v>5</v>
      </c>
      <c r="D6" s="1" t="s">
        <v>6</v>
      </c>
      <c r="E6" s="3" t="s">
        <v>9</v>
      </c>
      <c r="F6" s="3" t="s">
        <v>10</v>
      </c>
      <c r="G6" s="3" t="s">
        <v>7</v>
      </c>
      <c r="H6" s="3" t="s">
        <v>8</v>
      </c>
    </row>
    <row r="7" spans="1:8" x14ac:dyDescent="0.25">
      <c r="A7" s="2">
        <v>0</v>
      </c>
      <c r="B7" s="2">
        <f>$B$2*A7/100</f>
        <v>0</v>
      </c>
      <c r="C7" s="2">
        <f>(B7*$B$3/100+$B$2*$B$4/100)</f>
        <v>0.08</v>
      </c>
      <c r="D7" s="2">
        <f>C7*-1</f>
        <v>-0.08</v>
      </c>
      <c r="E7" s="4" t="e">
        <f>C7/B7*100</f>
        <v>#DIV/0!</v>
      </c>
      <c r="F7" s="4" t="e">
        <f>D7/B7*100</f>
        <v>#DIV/0!</v>
      </c>
      <c r="G7" s="5">
        <f>C7/$B$2*100</f>
        <v>0.2</v>
      </c>
      <c r="H7" s="6">
        <f>G7*-1</f>
        <v>-0.2</v>
      </c>
    </row>
    <row r="8" spans="1:8" x14ac:dyDescent="0.25">
      <c r="A8" s="2">
        <v>1</v>
      </c>
      <c r="B8" s="2">
        <f t="shared" ref="B8:B71" si="0">$B$2*A8/100</f>
        <v>0.4</v>
      </c>
      <c r="C8" s="2">
        <f t="shared" ref="C8:C71" si="1">(B8*$B$3/100+$B$2*$B$4/100)</f>
        <v>8.1600000000000006E-2</v>
      </c>
      <c r="D8" s="2">
        <f t="shared" ref="D8:D71" si="2">C8*-1</f>
        <v>-8.1600000000000006E-2</v>
      </c>
      <c r="E8" s="4">
        <f t="shared" ref="E8:E71" si="3">C8/B8*100</f>
        <v>20.400000000000002</v>
      </c>
      <c r="F8" s="4">
        <f t="shared" ref="F8:F71" si="4">D8/B8*100</f>
        <v>-20.400000000000002</v>
      </c>
      <c r="G8" s="5">
        <f t="shared" ref="G8:G71" si="5">C8/$B$2*100</f>
        <v>0.20400000000000001</v>
      </c>
      <c r="H8" s="6">
        <f t="shared" ref="H8:H71" si="6">G8*-1</f>
        <v>-0.20400000000000001</v>
      </c>
    </row>
    <row r="9" spans="1:8" x14ac:dyDescent="0.25">
      <c r="A9" s="2">
        <v>2</v>
      </c>
      <c r="B9" s="2">
        <f t="shared" si="0"/>
        <v>0.8</v>
      </c>
      <c r="C9" s="2">
        <f t="shared" si="1"/>
        <v>8.3199999999999996E-2</v>
      </c>
      <c r="D9" s="2">
        <f t="shared" si="2"/>
        <v>-8.3199999999999996E-2</v>
      </c>
      <c r="E9" s="4">
        <f t="shared" si="3"/>
        <v>10.4</v>
      </c>
      <c r="F9" s="4">
        <f t="shared" si="4"/>
        <v>-10.4</v>
      </c>
      <c r="G9" s="5">
        <f t="shared" si="5"/>
        <v>0.20799999999999999</v>
      </c>
      <c r="H9" s="6">
        <f t="shared" si="6"/>
        <v>-0.20799999999999999</v>
      </c>
    </row>
    <row r="10" spans="1:8" x14ac:dyDescent="0.25">
      <c r="A10" s="2">
        <v>3</v>
      </c>
      <c r="B10" s="2">
        <f t="shared" si="0"/>
        <v>1.2</v>
      </c>
      <c r="C10" s="2">
        <f t="shared" si="1"/>
        <v>8.48E-2</v>
      </c>
      <c r="D10" s="2">
        <f t="shared" si="2"/>
        <v>-8.48E-2</v>
      </c>
      <c r="E10" s="4">
        <f t="shared" si="3"/>
        <v>7.0666666666666673</v>
      </c>
      <c r="F10" s="4">
        <f t="shared" si="4"/>
        <v>-7.0666666666666673</v>
      </c>
      <c r="G10" s="5">
        <f t="shared" si="5"/>
        <v>0.21199999999999999</v>
      </c>
      <c r="H10" s="6">
        <f t="shared" si="6"/>
        <v>-0.21199999999999999</v>
      </c>
    </row>
    <row r="11" spans="1:8" x14ac:dyDescent="0.25">
      <c r="A11" s="2">
        <v>4</v>
      </c>
      <c r="B11" s="2">
        <f t="shared" si="0"/>
        <v>1.6</v>
      </c>
      <c r="C11" s="2">
        <f t="shared" si="1"/>
        <v>8.6400000000000005E-2</v>
      </c>
      <c r="D11" s="2">
        <f t="shared" si="2"/>
        <v>-8.6400000000000005E-2</v>
      </c>
      <c r="E11" s="4">
        <f t="shared" si="3"/>
        <v>5.4</v>
      </c>
      <c r="F11" s="4">
        <f t="shared" si="4"/>
        <v>-5.4</v>
      </c>
      <c r="G11" s="5">
        <f t="shared" si="5"/>
        <v>0.216</v>
      </c>
      <c r="H11" s="6">
        <f t="shared" si="6"/>
        <v>-0.216</v>
      </c>
    </row>
    <row r="12" spans="1:8" x14ac:dyDescent="0.25">
      <c r="A12" s="2">
        <v>5</v>
      </c>
      <c r="B12" s="2">
        <f t="shared" si="0"/>
        <v>2</v>
      </c>
      <c r="C12" s="2">
        <f t="shared" si="1"/>
        <v>8.7999999999999995E-2</v>
      </c>
      <c r="D12" s="2">
        <f t="shared" si="2"/>
        <v>-8.7999999999999995E-2</v>
      </c>
      <c r="E12" s="4">
        <f t="shared" si="3"/>
        <v>4.3999999999999995</v>
      </c>
      <c r="F12" s="4">
        <f t="shared" si="4"/>
        <v>-4.3999999999999995</v>
      </c>
      <c r="G12" s="5">
        <f t="shared" si="5"/>
        <v>0.21999999999999997</v>
      </c>
      <c r="H12" s="6">
        <f t="shared" si="6"/>
        <v>-0.21999999999999997</v>
      </c>
    </row>
    <row r="13" spans="1:8" x14ac:dyDescent="0.25">
      <c r="A13" s="2">
        <v>6</v>
      </c>
      <c r="B13" s="2">
        <f t="shared" si="0"/>
        <v>2.4</v>
      </c>
      <c r="C13" s="2">
        <f t="shared" si="1"/>
        <v>8.9599999999999999E-2</v>
      </c>
      <c r="D13" s="2">
        <f t="shared" si="2"/>
        <v>-8.9599999999999999E-2</v>
      </c>
      <c r="E13" s="4">
        <f t="shared" si="3"/>
        <v>3.7333333333333338</v>
      </c>
      <c r="F13" s="4">
        <f t="shared" si="4"/>
        <v>-3.7333333333333338</v>
      </c>
      <c r="G13" s="5">
        <f t="shared" si="5"/>
        <v>0.22399999999999998</v>
      </c>
      <c r="H13" s="6">
        <f t="shared" si="6"/>
        <v>-0.22399999999999998</v>
      </c>
    </row>
    <row r="14" spans="1:8" x14ac:dyDescent="0.25">
      <c r="A14" s="2">
        <v>7</v>
      </c>
      <c r="B14" s="2">
        <f t="shared" si="0"/>
        <v>2.8</v>
      </c>
      <c r="C14" s="2">
        <f t="shared" si="1"/>
        <v>9.1200000000000003E-2</v>
      </c>
      <c r="D14" s="2">
        <f t="shared" si="2"/>
        <v>-9.1200000000000003E-2</v>
      </c>
      <c r="E14" s="4">
        <f>C14/B14*100</f>
        <v>3.2571428571428576</v>
      </c>
      <c r="F14" s="4">
        <f t="shared" si="4"/>
        <v>-3.2571428571428576</v>
      </c>
      <c r="G14" s="5">
        <f t="shared" si="5"/>
        <v>0.22799999999999998</v>
      </c>
      <c r="H14" s="6">
        <f t="shared" si="6"/>
        <v>-0.22799999999999998</v>
      </c>
    </row>
    <row r="15" spans="1:8" x14ac:dyDescent="0.25">
      <c r="A15" s="2">
        <v>8</v>
      </c>
      <c r="B15" s="2">
        <f t="shared" si="0"/>
        <v>3.2</v>
      </c>
      <c r="C15" s="2">
        <f t="shared" si="1"/>
        <v>9.2800000000000007E-2</v>
      </c>
      <c r="D15" s="2">
        <f t="shared" si="2"/>
        <v>-9.2800000000000007E-2</v>
      </c>
      <c r="E15" s="4">
        <f t="shared" si="3"/>
        <v>2.9000000000000004</v>
      </c>
      <c r="F15" s="4">
        <f t="shared" si="4"/>
        <v>-2.9000000000000004</v>
      </c>
      <c r="G15" s="5">
        <f t="shared" si="5"/>
        <v>0.23200000000000001</v>
      </c>
      <c r="H15" s="6">
        <f t="shared" si="6"/>
        <v>-0.23200000000000001</v>
      </c>
    </row>
    <row r="16" spans="1:8" x14ac:dyDescent="0.25">
      <c r="A16" s="2">
        <v>9</v>
      </c>
      <c r="B16" s="2">
        <f t="shared" si="0"/>
        <v>3.6</v>
      </c>
      <c r="C16" s="2">
        <f t="shared" si="1"/>
        <v>9.4399999999999998E-2</v>
      </c>
      <c r="D16" s="2">
        <f t="shared" si="2"/>
        <v>-9.4399999999999998E-2</v>
      </c>
      <c r="E16" s="4">
        <f t="shared" si="3"/>
        <v>2.6222222222222218</v>
      </c>
      <c r="F16" s="4">
        <f t="shared" si="4"/>
        <v>-2.6222222222222218</v>
      </c>
      <c r="G16" s="5">
        <f t="shared" si="5"/>
        <v>0.23600000000000002</v>
      </c>
      <c r="H16" s="6">
        <f t="shared" si="6"/>
        <v>-0.23600000000000002</v>
      </c>
    </row>
    <row r="17" spans="1:8" x14ac:dyDescent="0.25">
      <c r="A17" s="2">
        <v>10</v>
      </c>
      <c r="B17" s="2">
        <f t="shared" si="0"/>
        <v>4</v>
      </c>
      <c r="C17" s="2">
        <f t="shared" si="1"/>
        <v>9.6000000000000002E-2</v>
      </c>
      <c r="D17" s="2">
        <f t="shared" si="2"/>
        <v>-9.6000000000000002E-2</v>
      </c>
      <c r="E17" s="4">
        <f t="shared" si="3"/>
        <v>2.4</v>
      </c>
      <c r="F17" s="4">
        <f t="shared" si="4"/>
        <v>-2.4</v>
      </c>
      <c r="G17" s="5">
        <f t="shared" si="5"/>
        <v>0.24000000000000002</v>
      </c>
      <c r="H17" s="6">
        <f t="shared" si="6"/>
        <v>-0.24000000000000002</v>
      </c>
    </row>
    <row r="18" spans="1:8" x14ac:dyDescent="0.25">
      <c r="A18" s="2">
        <v>11</v>
      </c>
      <c r="B18" s="2">
        <f t="shared" si="0"/>
        <v>4.4000000000000004</v>
      </c>
      <c r="C18" s="2">
        <f t="shared" si="1"/>
        <v>9.7600000000000006E-2</v>
      </c>
      <c r="D18" s="2">
        <f t="shared" si="2"/>
        <v>-9.7600000000000006E-2</v>
      </c>
      <c r="E18" s="4">
        <f t="shared" si="3"/>
        <v>2.2181818181818183</v>
      </c>
      <c r="F18" s="4">
        <f t="shared" si="4"/>
        <v>-2.2181818181818183</v>
      </c>
      <c r="G18" s="5">
        <f t="shared" si="5"/>
        <v>0.24400000000000002</v>
      </c>
      <c r="H18" s="6">
        <f t="shared" si="6"/>
        <v>-0.24400000000000002</v>
      </c>
    </row>
    <row r="19" spans="1:8" x14ac:dyDescent="0.25">
      <c r="A19" s="2">
        <v>12</v>
      </c>
      <c r="B19" s="2">
        <f t="shared" si="0"/>
        <v>4.8</v>
      </c>
      <c r="C19" s="2">
        <f t="shared" si="1"/>
        <v>9.9199999999999997E-2</v>
      </c>
      <c r="D19" s="2">
        <f t="shared" si="2"/>
        <v>-9.9199999999999997E-2</v>
      </c>
      <c r="E19" s="4">
        <f t="shared" si="3"/>
        <v>2.0666666666666664</v>
      </c>
      <c r="F19" s="4">
        <f t="shared" si="4"/>
        <v>-2.0666666666666664</v>
      </c>
      <c r="G19" s="5">
        <f t="shared" si="5"/>
        <v>0.248</v>
      </c>
      <c r="H19" s="6">
        <f t="shared" si="6"/>
        <v>-0.248</v>
      </c>
    </row>
    <row r="20" spans="1:8" x14ac:dyDescent="0.25">
      <c r="A20" s="2">
        <v>13</v>
      </c>
      <c r="B20" s="2">
        <f t="shared" si="0"/>
        <v>5.2</v>
      </c>
      <c r="C20" s="2">
        <f t="shared" si="1"/>
        <v>0.1008</v>
      </c>
      <c r="D20" s="2">
        <f t="shared" si="2"/>
        <v>-0.1008</v>
      </c>
      <c r="E20" s="4">
        <f t="shared" si="3"/>
        <v>1.9384615384615385</v>
      </c>
      <c r="F20" s="4">
        <f t="shared" si="4"/>
        <v>-1.9384615384615385</v>
      </c>
      <c r="G20" s="5">
        <f t="shared" si="5"/>
        <v>0.252</v>
      </c>
      <c r="H20" s="6">
        <f t="shared" si="6"/>
        <v>-0.252</v>
      </c>
    </row>
    <row r="21" spans="1:8" x14ac:dyDescent="0.25">
      <c r="A21" s="2">
        <v>14</v>
      </c>
      <c r="B21" s="2">
        <f t="shared" si="0"/>
        <v>5.6</v>
      </c>
      <c r="C21" s="2">
        <f t="shared" si="1"/>
        <v>0.10239999999999999</v>
      </c>
      <c r="D21" s="2">
        <f t="shared" si="2"/>
        <v>-0.10239999999999999</v>
      </c>
      <c r="E21" s="4">
        <f t="shared" si="3"/>
        <v>1.8285714285714283</v>
      </c>
      <c r="F21" s="4">
        <f t="shared" si="4"/>
        <v>-1.8285714285714283</v>
      </c>
      <c r="G21" s="5">
        <f t="shared" si="5"/>
        <v>0.25600000000000001</v>
      </c>
      <c r="H21" s="6">
        <f t="shared" si="6"/>
        <v>-0.25600000000000001</v>
      </c>
    </row>
    <row r="22" spans="1:8" x14ac:dyDescent="0.25">
      <c r="A22" s="2">
        <v>15</v>
      </c>
      <c r="B22" s="2">
        <f t="shared" si="0"/>
        <v>6</v>
      </c>
      <c r="C22" s="2">
        <f t="shared" si="1"/>
        <v>0.10400000000000001</v>
      </c>
      <c r="D22" s="2">
        <f t="shared" si="2"/>
        <v>-0.10400000000000001</v>
      </c>
      <c r="E22" s="4">
        <f t="shared" si="3"/>
        <v>1.7333333333333336</v>
      </c>
      <c r="F22" s="4">
        <f t="shared" si="4"/>
        <v>-1.7333333333333336</v>
      </c>
      <c r="G22" s="5">
        <f t="shared" si="5"/>
        <v>0.26</v>
      </c>
      <c r="H22" s="6">
        <f t="shared" si="6"/>
        <v>-0.26</v>
      </c>
    </row>
    <row r="23" spans="1:8" x14ac:dyDescent="0.25">
      <c r="A23" s="2">
        <v>16</v>
      </c>
      <c r="B23" s="2">
        <f t="shared" si="0"/>
        <v>6.4</v>
      </c>
      <c r="C23" s="2">
        <f t="shared" si="1"/>
        <v>0.1056</v>
      </c>
      <c r="D23" s="2">
        <f t="shared" si="2"/>
        <v>-0.1056</v>
      </c>
      <c r="E23" s="4">
        <f t="shared" si="3"/>
        <v>1.6499999999999997</v>
      </c>
      <c r="F23" s="4">
        <f t="shared" si="4"/>
        <v>-1.6499999999999997</v>
      </c>
      <c r="G23" s="5">
        <f t="shared" si="5"/>
        <v>0.26400000000000001</v>
      </c>
      <c r="H23" s="6">
        <f t="shared" si="6"/>
        <v>-0.26400000000000001</v>
      </c>
    </row>
    <row r="24" spans="1:8" x14ac:dyDescent="0.25">
      <c r="A24" s="2">
        <v>17</v>
      </c>
      <c r="B24" s="2">
        <f t="shared" si="0"/>
        <v>6.8</v>
      </c>
      <c r="C24" s="2">
        <f t="shared" si="1"/>
        <v>0.1072</v>
      </c>
      <c r="D24" s="2">
        <f t="shared" si="2"/>
        <v>-0.1072</v>
      </c>
      <c r="E24" s="4">
        <f t="shared" si="3"/>
        <v>1.5764705882352941</v>
      </c>
      <c r="F24" s="4">
        <f t="shared" si="4"/>
        <v>-1.5764705882352941</v>
      </c>
      <c r="G24" s="5">
        <f t="shared" si="5"/>
        <v>0.26800000000000002</v>
      </c>
      <c r="H24" s="6">
        <f t="shared" si="6"/>
        <v>-0.26800000000000002</v>
      </c>
    </row>
    <row r="25" spans="1:8" x14ac:dyDescent="0.25">
      <c r="A25" s="2">
        <v>18</v>
      </c>
      <c r="B25" s="2">
        <f t="shared" si="0"/>
        <v>7.2</v>
      </c>
      <c r="C25" s="2">
        <f t="shared" si="1"/>
        <v>0.10880000000000001</v>
      </c>
      <c r="D25" s="2">
        <f t="shared" si="2"/>
        <v>-0.10880000000000001</v>
      </c>
      <c r="E25" s="4">
        <f t="shared" si="3"/>
        <v>1.5111111111111111</v>
      </c>
      <c r="F25" s="4">
        <f t="shared" si="4"/>
        <v>-1.5111111111111111</v>
      </c>
      <c r="G25" s="5">
        <f t="shared" si="5"/>
        <v>0.27200000000000002</v>
      </c>
      <c r="H25" s="6">
        <f t="shared" si="6"/>
        <v>-0.27200000000000002</v>
      </c>
    </row>
    <row r="26" spans="1:8" x14ac:dyDescent="0.25">
      <c r="A26" s="2">
        <v>19</v>
      </c>
      <c r="B26" s="2">
        <f t="shared" si="0"/>
        <v>7.6</v>
      </c>
      <c r="C26" s="2">
        <f t="shared" si="1"/>
        <v>0.1104</v>
      </c>
      <c r="D26" s="2">
        <f t="shared" si="2"/>
        <v>-0.1104</v>
      </c>
      <c r="E26" s="4">
        <f t="shared" si="3"/>
        <v>1.4526315789473685</v>
      </c>
      <c r="F26" s="4">
        <f t="shared" si="4"/>
        <v>-1.4526315789473685</v>
      </c>
      <c r="G26" s="5">
        <f t="shared" si="5"/>
        <v>0.27599999999999997</v>
      </c>
      <c r="H26" s="6">
        <f t="shared" si="6"/>
        <v>-0.27599999999999997</v>
      </c>
    </row>
    <row r="27" spans="1:8" x14ac:dyDescent="0.25">
      <c r="A27" s="2">
        <v>20</v>
      </c>
      <c r="B27" s="2">
        <f t="shared" si="0"/>
        <v>8</v>
      </c>
      <c r="C27" s="2">
        <f t="shared" si="1"/>
        <v>0.112</v>
      </c>
      <c r="D27" s="2">
        <f t="shared" si="2"/>
        <v>-0.112</v>
      </c>
      <c r="E27" s="4">
        <f t="shared" si="3"/>
        <v>1.4000000000000001</v>
      </c>
      <c r="F27" s="4">
        <f t="shared" si="4"/>
        <v>-1.4000000000000001</v>
      </c>
      <c r="G27" s="5">
        <f t="shared" si="5"/>
        <v>0.27999999999999997</v>
      </c>
      <c r="H27" s="6">
        <f t="shared" si="6"/>
        <v>-0.27999999999999997</v>
      </c>
    </row>
    <row r="28" spans="1:8" x14ac:dyDescent="0.25">
      <c r="A28" s="2">
        <v>21</v>
      </c>
      <c r="B28" s="2">
        <f t="shared" si="0"/>
        <v>8.4</v>
      </c>
      <c r="C28" s="2">
        <f t="shared" si="1"/>
        <v>0.11360000000000001</v>
      </c>
      <c r="D28" s="2">
        <f t="shared" si="2"/>
        <v>-0.11360000000000001</v>
      </c>
      <c r="E28" s="4">
        <f t="shared" si="3"/>
        <v>1.3523809523809525</v>
      </c>
      <c r="F28" s="4">
        <f t="shared" si="4"/>
        <v>-1.3523809523809525</v>
      </c>
      <c r="G28" s="5">
        <f t="shared" si="5"/>
        <v>0.28400000000000003</v>
      </c>
      <c r="H28" s="6">
        <f t="shared" si="6"/>
        <v>-0.28400000000000003</v>
      </c>
    </row>
    <row r="29" spans="1:8" x14ac:dyDescent="0.25">
      <c r="A29" s="2">
        <v>22</v>
      </c>
      <c r="B29" s="2">
        <f t="shared" si="0"/>
        <v>8.8000000000000007</v>
      </c>
      <c r="C29" s="2">
        <f t="shared" si="1"/>
        <v>0.1152</v>
      </c>
      <c r="D29" s="2">
        <f t="shared" si="2"/>
        <v>-0.1152</v>
      </c>
      <c r="E29" s="4">
        <f t="shared" si="3"/>
        <v>1.3090909090909089</v>
      </c>
      <c r="F29" s="4">
        <f t="shared" si="4"/>
        <v>-1.3090909090909089</v>
      </c>
      <c r="G29" s="5">
        <f t="shared" si="5"/>
        <v>0.28799999999999998</v>
      </c>
      <c r="H29" s="6">
        <f t="shared" si="6"/>
        <v>-0.28799999999999998</v>
      </c>
    </row>
    <row r="30" spans="1:8" x14ac:dyDescent="0.25">
      <c r="A30" s="2">
        <v>23</v>
      </c>
      <c r="B30" s="2">
        <f t="shared" si="0"/>
        <v>9.1999999999999993</v>
      </c>
      <c r="C30" s="2">
        <f t="shared" si="1"/>
        <v>0.1168</v>
      </c>
      <c r="D30" s="2">
        <f t="shared" si="2"/>
        <v>-0.1168</v>
      </c>
      <c r="E30" s="4">
        <f t="shared" si="3"/>
        <v>1.2695652173913046</v>
      </c>
      <c r="F30" s="4">
        <f t="shared" si="4"/>
        <v>-1.2695652173913046</v>
      </c>
      <c r="G30" s="5">
        <f t="shared" si="5"/>
        <v>0.29199999999999998</v>
      </c>
      <c r="H30" s="6">
        <f t="shared" si="6"/>
        <v>-0.29199999999999998</v>
      </c>
    </row>
    <row r="31" spans="1:8" x14ac:dyDescent="0.25">
      <c r="A31" s="2">
        <v>24</v>
      </c>
      <c r="B31" s="2">
        <f t="shared" si="0"/>
        <v>9.6</v>
      </c>
      <c r="C31" s="2">
        <f t="shared" si="1"/>
        <v>0.11840000000000001</v>
      </c>
      <c r="D31" s="2">
        <f t="shared" si="2"/>
        <v>-0.11840000000000001</v>
      </c>
      <c r="E31" s="4">
        <f t="shared" si="3"/>
        <v>1.2333333333333334</v>
      </c>
      <c r="F31" s="4">
        <f t="shared" si="4"/>
        <v>-1.2333333333333334</v>
      </c>
      <c r="G31" s="5">
        <f t="shared" si="5"/>
        <v>0.29599999999999999</v>
      </c>
      <c r="H31" s="6">
        <f t="shared" si="6"/>
        <v>-0.29599999999999999</v>
      </c>
    </row>
    <row r="32" spans="1:8" x14ac:dyDescent="0.25">
      <c r="A32" s="2">
        <v>25</v>
      </c>
      <c r="B32" s="2">
        <f t="shared" si="0"/>
        <v>10</v>
      </c>
      <c r="C32" s="2">
        <f t="shared" si="1"/>
        <v>0.12</v>
      </c>
      <c r="D32" s="2">
        <f t="shared" si="2"/>
        <v>-0.12</v>
      </c>
      <c r="E32" s="4">
        <f t="shared" si="3"/>
        <v>1.2</v>
      </c>
      <c r="F32" s="4">
        <f t="shared" si="4"/>
        <v>-1.2</v>
      </c>
      <c r="G32" s="5">
        <f t="shared" si="5"/>
        <v>0.3</v>
      </c>
      <c r="H32" s="6">
        <f t="shared" si="6"/>
        <v>-0.3</v>
      </c>
    </row>
    <row r="33" spans="1:8" x14ac:dyDescent="0.25">
      <c r="A33" s="2">
        <v>26</v>
      </c>
      <c r="B33" s="2">
        <f t="shared" si="0"/>
        <v>10.4</v>
      </c>
      <c r="C33" s="2">
        <f t="shared" si="1"/>
        <v>0.1216</v>
      </c>
      <c r="D33" s="2">
        <f t="shared" si="2"/>
        <v>-0.1216</v>
      </c>
      <c r="E33" s="4">
        <f t="shared" si="3"/>
        <v>1.1692307692307691</v>
      </c>
      <c r="F33" s="4">
        <f t="shared" si="4"/>
        <v>-1.1692307692307691</v>
      </c>
      <c r="G33" s="5">
        <f t="shared" si="5"/>
        <v>0.30399999999999999</v>
      </c>
      <c r="H33" s="6">
        <f t="shared" si="6"/>
        <v>-0.30399999999999999</v>
      </c>
    </row>
    <row r="34" spans="1:8" x14ac:dyDescent="0.25">
      <c r="A34" s="2">
        <v>27</v>
      </c>
      <c r="B34" s="2">
        <f t="shared" si="0"/>
        <v>10.8</v>
      </c>
      <c r="C34" s="2">
        <f t="shared" si="1"/>
        <v>0.1232</v>
      </c>
      <c r="D34" s="2">
        <f t="shared" si="2"/>
        <v>-0.1232</v>
      </c>
      <c r="E34" s="4">
        <f t="shared" si="3"/>
        <v>1.1407407407407408</v>
      </c>
      <c r="F34" s="4">
        <f t="shared" si="4"/>
        <v>-1.1407407407407408</v>
      </c>
      <c r="G34" s="5">
        <f t="shared" si="5"/>
        <v>0.30800000000000005</v>
      </c>
      <c r="H34" s="6">
        <f t="shared" si="6"/>
        <v>-0.30800000000000005</v>
      </c>
    </row>
    <row r="35" spans="1:8" x14ac:dyDescent="0.25">
      <c r="A35" s="2">
        <v>28</v>
      </c>
      <c r="B35" s="2">
        <f t="shared" si="0"/>
        <v>11.2</v>
      </c>
      <c r="C35" s="2">
        <f t="shared" si="1"/>
        <v>0.12479999999999999</v>
      </c>
      <c r="D35" s="2">
        <f t="shared" si="2"/>
        <v>-0.12479999999999999</v>
      </c>
      <c r="E35" s="4">
        <f t="shared" si="3"/>
        <v>1.1142857142857143</v>
      </c>
      <c r="F35" s="4">
        <f t="shared" si="4"/>
        <v>-1.1142857142857143</v>
      </c>
      <c r="G35" s="5">
        <f t="shared" si="5"/>
        <v>0.312</v>
      </c>
      <c r="H35" s="6">
        <f t="shared" si="6"/>
        <v>-0.312</v>
      </c>
    </row>
    <row r="36" spans="1:8" x14ac:dyDescent="0.25">
      <c r="A36" s="2">
        <v>29</v>
      </c>
      <c r="B36" s="2">
        <f t="shared" si="0"/>
        <v>11.6</v>
      </c>
      <c r="C36" s="2">
        <f t="shared" si="1"/>
        <v>0.12640000000000001</v>
      </c>
      <c r="D36" s="2">
        <f t="shared" si="2"/>
        <v>-0.12640000000000001</v>
      </c>
      <c r="E36" s="4">
        <f t="shared" si="3"/>
        <v>1.0896551724137933</v>
      </c>
      <c r="F36" s="4">
        <f t="shared" si="4"/>
        <v>-1.0896551724137933</v>
      </c>
      <c r="G36" s="5">
        <f t="shared" si="5"/>
        <v>0.31600000000000006</v>
      </c>
      <c r="H36" s="6">
        <f t="shared" si="6"/>
        <v>-0.31600000000000006</v>
      </c>
    </row>
    <row r="37" spans="1:8" x14ac:dyDescent="0.25">
      <c r="A37" s="2">
        <v>30</v>
      </c>
      <c r="B37" s="2">
        <f t="shared" si="0"/>
        <v>12</v>
      </c>
      <c r="C37" s="2">
        <f t="shared" si="1"/>
        <v>0.128</v>
      </c>
      <c r="D37" s="2">
        <f t="shared" si="2"/>
        <v>-0.128</v>
      </c>
      <c r="E37" s="4">
        <f t="shared" si="3"/>
        <v>1.0666666666666667</v>
      </c>
      <c r="F37" s="4">
        <f t="shared" si="4"/>
        <v>-1.0666666666666667</v>
      </c>
      <c r="G37" s="5">
        <f t="shared" si="5"/>
        <v>0.32</v>
      </c>
      <c r="H37" s="6">
        <f t="shared" si="6"/>
        <v>-0.32</v>
      </c>
    </row>
    <row r="38" spans="1:8" x14ac:dyDescent="0.25">
      <c r="A38" s="2">
        <v>31</v>
      </c>
      <c r="B38" s="2">
        <f t="shared" si="0"/>
        <v>12.4</v>
      </c>
      <c r="C38" s="2">
        <f t="shared" si="1"/>
        <v>0.12959999999999999</v>
      </c>
      <c r="D38" s="2">
        <f t="shared" si="2"/>
        <v>-0.12959999999999999</v>
      </c>
      <c r="E38" s="4">
        <f>C38/B38*100</f>
        <v>1.0451612903225806</v>
      </c>
      <c r="F38" s="4">
        <f t="shared" si="4"/>
        <v>-1.0451612903225806</v>
      </c>
      <c r="G38" s="5">
        <f t="shared" si="5"/>
        <v>0.32399999999999995</v>
      </c>
      <c r="H38" s="6">
        <f t="shared" si="6"/>
        <v>-0.32399999999999995</v>
      </c>
    </row>
    <row r="39" spans="1:8" x14ac:dyDescent="0.25">
      <c r="A39" s="2">
        <v>32</v>
      </c>
      <c r="B39" s="2">
        <f t="shared" si="0"/>
        <v>12.8</v>
      </c>
      <c r="C39" s="2">
        <f t="shared" si="1"/>
        <v>0.13120000000000001</v>
      </c>
      <c r="D39" s="2">
        <f t="shared" si="2"/>
        <v>-0.13120000000000001</v>
      </c>
      <c r="E39" s="4">
        <f t="shared" si="3"/>
        <v>1.0250000000000001</v>
      </c>
      <c r="F39" s="4">
        <f t="shared" si="4"/>
        <v>-1.0250000000000001</v>
      </c>
      <c r="G39" s="5">
        <f t="shared" si="5"/>
        <v>0.32800000000000001</v>
      </c>
      <c r="H39" s="6">
        <f t="shared" si="6"/>
        <v>-0.32800000000000001</v>
      </c>
    </row>
    <row r="40" spans="1:8" x14ac:dyDescent="0.25">
      <c r="A40" s="2">
        <v>33</v>
      </c>
      <c r="B40" s="2">
        <f t="shared" si="0"/>
        <v>13.2</v>
      </c>
      <c r="C40" s="2">
        <f t="shared" si="1"/>
        <v>0.1328</v>
      </c>
      <c r="D40" s="2">
        <f t="shared" si="2"/>
        <v>-0.1328</v>
      </c>
      <c r="E40" s="4">
        <f t="shared" si="3"/>
        <v>1.0060606060606061</v>
      </c>
      <c r="F40" s="4">
        <f t="shared" si="4"/>
        <v>-1.0060606060606061</v>
      </c>
      <c r="G40" s="5">
        <f t="shared" si="5"/>
        <v>0.33200000000000002</v>
      </c>
      <c r="H40" s="6">
        <f t="shared" si="6"/>
        <v>-0.33200000000000002</v>
      </c>
    </row>
    <row r="41" spans="1:8" x14ac:dyDescent="0.25">
      <c r="A41" s="2">
        <v>34</v>
      </c>
      <c r="B41" s="2">
        <f t="shared" si="0"/>
        <v>13.6</v>
      </c>
      <c r="C41" s="2">
        <f t="shared" si="1"/>
        <v>0.13440000000000002</v>
      </c>
      <c r="D41" s="2">
        <f t="shared" si="2"/>
        <v>-0.13440000000000002</v>
      </c>
      <c r="E41" s="4">
        <f t="shared" si="3"/>
        <v>0.98823529411764721</v>
      </c>
      <c r="F41" s="4">
        <f t="shared" si="4"/>
        <v>-0.98823529411764721</v>
      </c>
      <c r="G41" s="5">
        <f t="shared" si="5"/>
        <v>0.33600000000000008</v>
      </c>
      <c r="H41" s="6">
        <f t="shared" si="6"/>
        <v>-0.33600000000000008</v>
      </c>
    </row>
    <row r="42" spans="1:8" x14ac:dyDescent="0.25">
      <c r="A42" s="2">
        <v>35</v>
      </c>
      <c r="B42" s="2">
        <f t="shared" si="0"/>
        <v>14</v>
      </c>
      <c r="C42" s="2">
        <f t="shared" si="1"/>
        <v>0.13600000000000001</v>
      </c>
      <c r="D42" s="2">
        <f t="shared" si="2"/>
        <v>-0.13600000000000001</v>
      </c>
      <c r="E42" s="4">
        <f t="shared" si="3"/>
        <v>0.97142857142857153</v>
      </c>
      <c r="F42" s="4">
        <f t="shared" si="4"/>
        <v>-0.97142857142857153</v>
      </c>
      <c r="G42" s="5">
        <f t="shared" si="5"/>
        <v>0.34</v>
      </c>
      <c r="H42" s="6">
        <f t="shared" si="6"/>
        <v>-0.34</v>
      </c>
    </row>
    <row r="43" spans="1:8" x14ac:dyDescent="0.25">
      <c r="A43" s="2">
        <v>36</v>
      </c>
      <c r="B43" s="2">
        <f t="shared" si="0"/>
        <v>14.4</v>
      </c>
      <c r="C43" s="2">
        <f t="shared" si="1"/>
        <v>0.1376</v>
      </c>
      <c r="D43" s="2">
        <f t="shared" si="2"/>
        <v>-0.1376</v>
      </c>
      <c r="E43" s="4">
        <f t="shared" si="3"/>
        <v>0.95555555555555549</v>
      </c>
      <c r="F43" s="4">
        <f t="shared" si="4"/>
        <v>-0.95555555555555549</v>
      </c>
      <c r="G43" s="5">
        <f t="shared" si="5"/>
        <v>0.34399999999999997</v>
      </c>
      <c r="H43" s="6">
        <f t="shared" si="6"/>
        <v>-0.34399999999999997</v>
      </c>
    </row>
    <row r="44" spans="1:8" x14ac:dyDescent="0.25">
      <c r="A44" s="2">
        <v>37</v>
      </c>
      <c r="B44" s="2">
        <f t="shared" si="0"/>
        <v>14.8</v>
      </c>
      <c r="C44" s="2">
        <f t="shared" si="1"/>
        <v>0.13920000000000002</v>
      </c>
      <c r="D44" s="2">
        <f t="shared" si="2"/>
        <v>-0.13920000000000002</v>
      </c>
      <c r="E44" s="4">
        <f t="shared" si="3"/>
        <v>0.94054054054054059</v>
      </c>
      <c r="F44" s="4">
        <f t="shared" si="4"/>
        <v>-0.94054054054054059</v>
      </c>
      <c r="G44" s="5">
        <f t="shared" si="5"/>
        <v>0.34800000000000003</v>
      </c>
      <c r="H44" s="6">
        <f t="shared" si="6"/>
        <v>-0.34800000000000003</v>
      </c>
    </row>
    <row r="45" spans="1:8" x14ac:dyDescent="0.25">
      <c r="A45" s="2">
        <v>38</v>
      </c>
      <c r="B45" s="2">
        <f t="shared" si="0"/>
        <v>15.2</v>
      </c>
      <c r="C45" s="2">
        <f t="shared" si="1"/>
        <v>0.14080000000000001</v>
      </c>
      <c r="D45" s="2">
        <f t="shared" si="2"/>
        <v>-0.14080000000000001</v>
      </c>
      <c r="E45" s="4">
        <f>C45/B45*100</f>
        <v>0.92631578947368431</v>
      </c>
      <c r="F45" s="4">
        <f t="shared" si="4"/>
        <v>-0.92631578947368431</v>
      </c>
      <c r="G45" s="5">
        <f t="shared" si="5"/>
        <v>0.35200000000000004</v>
      </c>
      <c r="H45" s="6">
        <f t="shared" si="6"/>
        <v>-0.35200000000000004</v>
      </c>
    </row>
    <row r="46" spans="1:8" x14ac:dyDescent="0.25">
      <c r="A46" s="2">
        <v>39</v>
      </c>
      <c r="B46" s="2">
        <f t="shared" si="0"/>
        <v>15.6</v>
      </c>
      <c r="C46" s="2">
        <f t="shared" si="1"/>
        <v>0.1424</v>
      </c>
      <c r="D46" s="2">
        <f t="shared" si="2"/>
        <v>-0.1424</v>
      </c>
      <c r="E46" s="4">
        <f t="shared" si="3"/>
        <v>0.91282051282051291</v>
      </c>
      <c r="F46" s="4">
        <f t="shared" si="4"/>
        <v>-0.91282051282051291</v>
      </c>
      <c r="G46" s="5">
        <f t="shared" si="5"/>
        <v>0.35599999999999998</v>
      </c>
      <c r="H46" s="6">
        <f t="shared" si="6"/>
        <v>-0.35599999999999998</v>
      </c>
    </row>
    <row r="47" spans="1:8" x14ac:dyDescent="0.25">
      <c r="A47" s="2">
        <v>40</v>
      </c>
      <c r="B47" s="2">
        <f t="shared" si="0"/>
        <v>16</v>
      </c>
      <c r="C47" s="2">
        <f t="shared" si="1"/>
        <v>0.14400000000000002</v>
      </c>
      <c r="D47" s="2">
        <f t="shared" si="2"/>
        <v>-0.14400000000000002</v>
      </c>
      <c r="E47" s="4">
        <f t="shared" si="3"/>
        <v>0.90000000000000013</v>
      </c>
      <c r="F47" s="4">
        <f t="shared" si="4"/>
        <v>-0.90000000000000013</v>
      </c>
      <c r="G47" s="5">
        <f t="shared" si="5"/>
        <v>0.36000000000000004</v>
      </c>
      <c r="H47" s="6">
        <f t="shared" si="6"/>
        <v>-0.36000000000000004</v>
      </c>
    </row>
    <row r="48" spans="1:8" x14ac:dyDescent="0.25">
      <c r="A48" s="2">
        <v>41</v>
      </c>
      <c r="B48" s="2">
        <f t="shared" si="0"/>
        <v>16.399999999999999</v>
      </c>
      <c r="C48" s="2">
        <f t="shared" si="1"/>
        <v>0.14560000000000001</v>
      </c>
      <c r="D48" s="2">
        <f t="shared" si="2"/>
        <v>-0.14560000000000001</v>
      </c>
      <c r="E48" s="4">
        <f t="shared" si="3"/>
        <v>0.88780487804878061</v>
      </c>
      <c r="F48" s="4">
        <f t="shared" si="4"/>
        <v>-0.88780487804878061</v>
      </c>
      <c r="G48" s="5">
        <f t="shared" si="5"/>
        <v>0.36399999999999999</v>
      </c>
      <c r="H48" s="6">
        <f t="shared" si="6"/>
        <v>-0.36399999999999999</v>
      </c>
    </row>
    <row r="49" spans="1:8" x14ac:dyDescent="0.25">
      <c r="A49" s="2">
        <v>42</v>
      </c>
      <c r="B49" s="2">
        <f t="shared" si="0"/>
        <v>16.8</v>
      </c>
      <c r="C49" s="2">
        <f t="shared" si="1"/>
        <v>0.1472</v>
      </c>
      <c r="D49" s="2">
        <f t="shared" si="2"/>
        <v>-0.1472</v>
      </c>
      <c r="E49" s="4">
        <f t="shared" si="3"/>
        <v>0.87619047619047608</v>
      </c>
      <c r="F49" s="4">
        <f t="shared" si="4"/>
        <v>-0.87619047619047608</v>
      </c>
      <c r="G49" s="5">
        <f t="shared" si="5"/>
        <v>0.36799999999999999</v>
      </c>
      <c r="H49" s="6">
        <f t="shared" si="6"/>
        <v>-0.36799999999999999</v>
      </c>
    </row>
    <row r="50" spans="1:8" x14ac:dyDescent="0.25">
      <c r="A50" s="2">
        <v>43</v>
      </c>
      <c r="B50" s="2">
        <f t="shared" si="0"/>
        <v>17.2</v>
      </c>
      <c r="C50" s="2">
        <f t="shared" si="1"/>
        <v>0.14879999999999999</v>
      </c>
      <c r="D50" s="2">
        <f t="shared" si="2"/>
        <v>-0.14879999999999999</v>
      </c>
      <c r="E50" s="4">
        <f t="shared" si="3"/>
        <v>0.8651162790697674</v>
      </c>
      <c r="F50" s="4">
        <f t="shared" si="4"/>
        <v>-0.8651162790697674</v>
      </c>
      <c r="G50" s="5">
        <f t="shared" si="5"/>
        <v>0.372</v>
      </c>
      <c r="H50" s="6">
        <f t="shared" si="6"/>
        <v>-0.372</v>
      </c>
    </row>
    <row r="51" spans="1:8" x14ac:dyDescent="0.25">
      <c r="A51" s="2">
        <v>44</v>
      </c>
      <c r="B51" s="2">
        <f t="shared" si="0"/>
        <v>17.600000000000001</v>
      </c>
      <c r="C51" s="2">
        <f t="shared" si="1"/>
        <v>0.15040000000000001</v>
      </c>
      <c r="D51" s="2">
        <f t="shared" si="2"/>
        <v>-0.15040000000000001</v>
      </c>
      <c r="E51" s="4">
        <f t="shared" si="3"/>
        <v>0.8545454545454545</v>
      </c>
      <c r="F51" s="4">
        <f t="shared" si="4"/>
        <v>-0.8545454545454545</v>
      </c>
      <c r="G51" s="5">
        <f t="shared" si="5"/>
        <v>0.37600000000000006</v>
      </c>
      <c r="H51" s="6">
        <f t="shared" si="6"/>
        <v>-0.37600000000000006</v>
      </c>
    </row>
    <row r="52" spans="1:8" x14ac:dyDescent="0.25">
      <c r="A52" s="2">
        <v>45</v>
      </c>
      <c r="B52" s="2">
        <f t="shared" si="0"/>
        <v>18</v>
      </c>
      <c r="C52" s="2">
        <f t="shared" si="1"/>
        <v>0.15200000000000002</v>
      </c>
      <c r="D52" s="2">
        <f t="shared" si="2"/>
        <v>-0.15200000000000002</v>
      </c>
      <c r="E52" s="4">
        <f t="shared" si="3"/>
        <v>0.84444444444444455</v>
      </c>
      <c r="F52" s="4">
        <f t="shared" si="4"/>
        <v>-0.84444444444444455</v>
      </c>
      <c r="G52" s="5">
        <f t="shared" si="5"/>
        <v>0.38000000000000006</v>
      </c>
      <c r="H52" s="6">
        <f t="shared" si="6"/>
        <v>-0.38000000000000006</v>
      </c>
    </row>
    <row r="53" spans="1:8" x14ac:dyDescent="0.25">
      <c r="A53" s="2">
        <v>46</v>
      </c>
      <c r="B53" s="2">
        <f t="shared" si="0"/>
        <v>18.399999999999999</v>
      </c>
      <c r="C53" s="2">
        <f t="shared" si="1"/>
        <v>0.15360000000000001</v>
      </c>
      <c r="D53" s="2">
        <f t="shared" si="2"/>
        <v>-0.15360000000000001</v>
      </c>
      <c r="E53" s="4">
        <f t="shared" si="3"/>
        <v>0.83478260869565224</v>
      </c>
      <c r="F53" s="4">
        <f t="shared" si="4"/>
        <v>-0.83478260869565224</v>
      </c>
      <c r="G53" s="5">
        <f t="shared" si="5"/>
        <v>0.38400000000000006</v>
      </c>
      <c r="H53" s="6">
        <f t="shared" si="6"/>
        <v>-0.38400000000000006</v>
      </c>
    </row>
    <row r="54" spans="1:8" x14ac:dyDescent="0.25">
      <c r="A54" s="2">
        <v>47</v>
      </c>
      <c r="B54" s="2">
        <f t="shared" si="0"/>
        <v>18.8</v>
      </c>
      <c r="C54" s="2">
        <f t="shared" si="1"/>
        <v>0.1552</v>
      </c>
      <c r="D54" s="2">
        <f t="shared" si="2"/>
        <v>-0.1552</v>
      </c>
      <c r="E54" s="4">
        <f t="shared" si="3"/>
        <v>0.82553191489361699</v>
      </c>
      <c r="F54" s="4">
        <f t="shared" si="4"/>
        <v>-0.82553191489361699</v>
      </c>
      <c r="G54" s="5">
        <f t="shared" si="5"/>
        <v>0.38800000000000001</v>
      </c>
      <c r="H54" s="6">
        <f t="shared" si="6"/>
        <v>-0.38800000000000001</v>
      </c>
    </row>
    <row r="55" spans="1:8" x14ac:dyDescent="0.25">
      <c r="A55" s="2">
        <v>48</v>
      </c>
      <c r="B55" s="2">
        <f t="shared" si="0"/>
        <v>19.2</v>
      </c>
      <c r="C55" s="2">
        <f t="shared" si="1"/>
        <v>0.15679999999999999</v>
      </c>
      <c r="D55" s="2">
        <f t="shared" si="2"/>
        <v>-0.15679999999999999</v>
      </c>
      <c r="E55" s="4">
        <f t="shared" si="3"/>
        <v>0.81666666666666676</v>
      </c>
      <c r="F55" s="4">
        <f t="shared" si="4"/>
        <v>-0.81666666666666676</v>
      </c>
      <c r="G55" s="5">
        <f t="shared" si="5"/>
        <v>0.39200000000000002</v>
      </c>
      <c r="H55" s="6">
        <f t="shared" si="6"/>
        <v>-0.39200000000000002</v>
      </c>
    </row>
    <row r="56" spans="1:8" x14ac:dyDescent="0.25">
      <c r="A56" s="2">
        <v>49</v>
      </c>
      <c r="B56" s="2">
        <f t="shared" si="0"/>
        <v>19.600000000000001</v>
      </c>
      <c r="C56" s="2">
        <f t="shared" si="1"/>
        <v>0.15840000000000001</v>
      </c>
      <c r="D56" s="2">
        <f t="shared" si="2"/>
        <v>-0.15840000000000001</v>
      </c>
      <c r="E56" s="4">
        <f t="shared" si="3"/>
        <v>0.80816326530612248</v>
      </c>
      <c r="F56" s="4">
        <f t="shared" si="4"/>
        <v>-0.80816326530612248</v>
      </c>
      <c r="G56" s="5">
        <f t="shared" si="5"/>
        <v>0.39600000000000002</v>
      </c>
      <c r="H56" s="6">
        <f t="shared" si="6"/>
        <v>-0.39600000000000002</v>
      </c>
    </row>
    <row r="57" spans="1:8" x14ac:dyDescent="0.25">
      <c r="A57" s="2">
        <v>50</v>
      </c>
      <c r="B57" s="2">
        <f t="shared" si="0"/>
        <v>20</v>
      </c>
      <c r="C57" s="2">
        <f t="shared" si="1"/>
        <v>0.16</v>
      </c>
      <c r="D57" s="2">
        <f t="shared" si="2"/>
        <v>-0.16</v>
      </c>
      <c r="E57" s="4">
        <f t="shared" si="3"/>
        <v>0.8</v>
      </c>
      <c r="F57" s="4">
        <f t="shared" si="4"/>
        <v>-0.8</v>
      </c>
      <c r="G57" s="5">
        <f t="shared" si="5"/>
        <v>0.4</v>
      </c>
      <c r="H57" s="6">
        <f t="shared" si="6"/>
        <v>-0.4</v>
      </c>
    </row>
    <row r="58" spans="1:8" x14ac:dyDescent="0.25">
      <c r="A58" s="2">
        <v>51</v>
      </c>
      <c r="B58" s="2">
        <f t="shared" si="0"/>
        <v>20.399999999999999</v>
      </c>
      <c r="C58" s="2">
        <f t="shared" si="1"/>
        <v>0.16160000000000002</v>
      </c>
      <c r="D58" s="2">
        <f t="shared" si="2"/>
        <v>-0.16160000000000002</v>
      </c>
      <c r="E58" s="4">
        <f t="shared" si="3"/>
        <v>0.79215686274509822</v>
      </c>
      <c r="F58" s="4">
        <f t="shared" si="4"/>
        <v>-0.79215686274509822</v>
      </c>
      <c r="G58" s="5">
        <f t="shared" si="5"/>
        <v>0.40400000000000003</v>
      </c>
      <c r="H58" s="6">
        <f t="shared" si="6"/>
        <v>-0.40400000000000003</v>
      </c>
    </row>
    <row r="59" spans="1:8" x14ac:dyDescent="0.25">
      <c r="A59" s="2">
        <v>52</v>
      </c>
      <c r="B59" s="2">
        <f t="shared" si="0"/>
        <v>20.8</v>
      </c>
      <c r="C59" s="2">
        <f t="shared" si="1"/>
        <v>0.16320000000000001</v>
      </c>
      <c r="D59" s="2">
        <f t="shared" si="2"/>
        <v>-0.16320000000000001</v>
      </c>
      <c r="E59" s="4">
        <f t="shared" si="3"/>
        <v>0.7846153846153846</v>
      </c>
      <c r="F59" s="4">
        <f t="shared" si="4"/>
        <v>-0.7846153846153846</v>
      </c>
      <c r="G59" s="5">
        <f t="shared" si="5"/>
        <v>0.40800000000000003</v>
      </c>
      <c r="H59" s="6">
        <f t="shared" si="6"/>
        <v>-0.40800000000000003</v>
      </c>
    </row>
    <row r="60" spans="1:8" x14ac:dyDescent="0.25">
      <c r="A60" s="2">
        <v>53</v>
      </c>
      <c r="B60" s="2">
        <f t="shared" si="0"/>
        <v>21.2</v>
      </c>
      <c r="C60" s="2">
        <f t="shared" si="1"/>
        <v>0.1648</v>
      </c>
      <c r="D60" s="2">
        <f t="shared" si="2"/>
        <v>-0.1648</v>
      </c>
      <c r="E60" s="4">
        <f t="shared" si="3"/>
        <v>0.77735849056603779</v>
      </c>
      <c r="F60" s="4">
        <f t="shared" si="4"/>
        <v>-0.77735849056603779</v>
      </c>
      <c r="G60" s="5">
        <f t="shared" si="5"/>
        <v>0.41200000000000003</v>
      </c>
      <c r="H60" s="6">
        <f t="shared" si="6"/>
        <v>-0.41200000000000003</v>
      </c>
    </row>
    <row r="61" spans="1:8" x14ac:dyDescent="0.25">
      <c r="A61" s="2">
        <v>54</v>
      </c>
      <c r="B61" s="2">
        <f t="shared" si="0"/>
        <v>21.6</v>
      </c>
      <c r="C61" s="2">
        <f t="shared" si="1"/>
        <v>0.16639999999999999</v>
      </c>
      <c r="D61" s="2">
        <f t="shared" si="2"/>
        <v>-0.16639999999999999</v>
      </c>
      <c r="E61" s="4">
        <f t="shared" si="3"/>
        <v>0.77037037037037026</v>
      </c>
      <c r="F61" s="4">
        <f t="shared" si="4"/>
        <v>-0.77037037037037026</v>
      </c>
      <c r="G61" s="5">
        <f t="shared" si="5"/>
        <v>0.41599999999999998</v>
      </c>
      <c r="H61" s="6">
        <f t="shared" si="6"/>
        <v>-0.41599999999999998</v>
      </c>
    </row>
    <row r="62" spans="1:8" x14ac:dyDescent="0.25">
      <c r="A62" s="2">
        <v>55</v>
      </c>
      <c r="B62" s="2">
        <f t="shared" si="0"/>
        <v>22</v>
      </c>
      <c r="C62" s="2">
        <f t="shared" si="1"/>
        <v>0.16800000000000001</v>
      </c>
      <c r="D62" s="2">
        <f t="shared" si="2"/>
        <v>-0.16800000000000001</v>
      </c>
      <c r="E62" s="4">
        <f>C62/B62*100</f>
        <v>0.76363636363636367</v>
      </c>
      <c r="F62" s="4">
        <f t="shared" si="4"/>
        <v>-0.76363636363636367</v>
      </c>
      <c r="G62" s="5">
        <f t="shared" si="5"/>
        <v>0.42000000000000004</v>
      </c>
      <c r="H62" s="6">
        <f t="shared" si="6"/>
        <v>-0.42000000000000004</v>
      </c>
    </row>
    <row r="63" spans="1:8" x14ac:dyDescent="0.25">
      <c r="A63" s="2">
        <v>56</v>
      </c>
      <c r="B63" s="2">
        <f t="shared" si="0"/>
        <v>22.4</v>
      </c>
      <c r="C63" s="2">
        <f t="shared" si="1"/>
        <v>0.16959999999999997</v>
      </c>
      <c r="D63" s="2">
        <f t="shared" si="2"/>
        <v>-0.16959999999999997</v>
      </c>
      <c r="E63" s="4">
        <f t="shared" si="3"/>
        <v>0.75714285714285712</v>
      </c>
      <c r="F63" s="4">
        <f t="shared" si="4"/>
        <v>-0.75714285714285712</v>
      </c>
      <c r="G63" s="5">
        <f t="shared" si="5"/>
        <v>0.42399999999999988</v>
      </c>
      <c r="H63" s="6">
        <f t="shared" si="6"/>
        <v>-0.42399999999999988</v>
      </c>
    </row>
    <row r="64" spans="1:8" x14ac:dyDescent="0.25">
      <c r="A64" s="2">
        <v>57</v>
      </c>
      <c r="B64" s="2">
        <f t="shared" si="0"/>
        <v>22.8</v>
      </c>
      <c r="C64" s="2">
        <f t="shared" si="1"/>
        <v>0.17120000000000002</v>
      </c>
      <c r="D64" s="2">
        <f t="shared" si="2"/>
        <v>-0.17120000000000002</v>
      </c>
      <c r="E64" s="4">
        <f t="shared" si="3"/>
        <v>0.75087719298245625</v>
      </c>
      <c r="F64" s="4">
        <f t="shared" si="4"/>
        <v>-0.75087719298245625</v>
      </c>
      <c r="G64" s="5">
        <f t="shared" si="5"/>
        <v>0.4280000000000001</v>
      </c>
      <c r="H64" s="6">
        <f t="shared" si="6"/>
        <v>-0.4280000000000001</v>
      </c>
    </row>
    <row r="65" spans="1:8" x14ac:dyDescent="0.25">
      <c r="A65" s="2">
        <v>58</v>
      </c>
      <c r="B65" s="2">
        <f t="shared" si="0"/>
        <v>23.2</v>
      </c>
      <c r="C65" s="2">
        <f t="shared" si="1"/>
        <v>0.17280000000000001</v>
      </c>
      <c r="D65" s="2">
        <f t="shared" si="2"/>
        <v>-0.17280000000000001</v>
      </c>
      <c r="E65" s="4">
        <f t="shared" si="3"/>
        <v>0.7448275862068966</v>
      </c>
      <c r="F65" s="4">
        <f t="shared" si="4"/>
        <v>-0.7448275862068966</v>
      </c>
      <c r="G65" s="5">
        <f t="shared" si="5"/>
        <v>0.432</v>
      </c>
      <c r="H65" s="6">
        <f t="shared" si="6"/>
        <v>-0.432</v>
      </c>
    </row>
    <row r="66" spans="1:8" x14ac:dyDescent="0.25">
      <c r="A66" s="2">
        <v>59</v>
      </c>
      <c r="B66" s="2">
        <f t="shared" si="0"/>
        <v>23.6</v>
      </c>
      <c r="C66" s="2">
        <f t="shared" si="1"/>
        <v>0.1744</v>
      </c>
      <c r="D66" s="2">
        <f t="shared" si="2"/>
        <v>-0.1744</v>
      </c>
      <c r="E66" s="4">
        <f t="shared" si="3"/>
        <v>0.73898305084745763</v>
      </c>
      <c r="F66" s="4">
        <f t="shared" si="4"/>
        <v>-0.73898305084745763</v>
      </c>
      <c r="G66" s="5">
        <f t="shared" si="5"/>
        <v>0.436</v>
      </c>
      <c r="H66" s="6">
        <f t="shared" si="6"/>
        <v>-0.436</v>
      </c>
    </row>
    <row r="67" spans="1:8" x14ac:dyDescent="0.25">
      <c r="A67" s="2">
        <v>60</v>
      </c>
      <c r="B67" s="2">
        <f t="shared" si="0"/>
        <v>24</v>
      </c>
      <c r="C67" s="2">
        <f t="shared" si="1"/>
        <v>0.17600000000000002</v>
      </c>
      <c r="D67" s="2">
        <f t="shared" si="2"/>
        <v>-0.17600000000000002</v>
      </c>
      <c r="E67" s="4">
        <f t="shared" si="3"/>
        <v>0.73333333333333339</v>
      </c>
      <c r="F67" s="4">
        <f t="shared" si="4"/>
        <v>-0.73333333333333339</v>
      </c>
      <c r="G67" s="5">
        <f t="shared" si="5"/>
        <v>0.44</v>
      </c>
      <c r="H67" s="6">
        <f t="shared" si="6"/>
        <v>-0.44</v>
      </c>
    </row>
    <row r="68" spans="1:8" x14ac:dyDescent="0.25">
      <c r="A68" s="2">
        <v>61</v>
      </c>
      <c r="B68" s="2">
        <f t="shared" si="0"/>
        <v>24.4</v>
      </c>
      <c r="C68" s="2">
        <f t="shared" si="1"/>
        <v>0.17759999999999998</v>
      </c>
      <c r="D68" s="2">
        <f t="shared" si="2"/>
        <v>-0.17759999999999998</v>
      </c>
      <c r="E68" s="4">
        <f t="shared" si="3"/>
        <v>0.72786885245901634</v>
      </c>
      <c r="F68" s="4">
        <f t="shared" si="4"/>
        <v>-0.72786885245901634</v>
      </c>
      <c r="G68" s="5">
        <f t="shared" si="5"/>
        <v>0.44399999999999995</v>
      </c>
      <c r="H68" s="6">
        <f t="shared" si="6"/>
        <v>-0.44399999999999995</v>
      </c>
    </row>
    <row r="69" spans="1:8" x14ac:dyDescent="0.25">
      <c r="A69" s="2">
        <v>62</v>
      </c>
      <c r="B69" s="2">
        <f t="shared" si="0"/>
        <v>24.8</v>
      </c>
      <c r="C69" s="2">
        <f t="shared" si="1"/>
        <v>0.17920000000000003</v>
      </c>
      <c r="D69" s="2">
        <f t="shared" si="2"/>
        <v>-0.17920000000000003</v>
      </c>
      <c r="E69" s="4">
        <f>C69/B69*100</f>
        <v>0.72258064516129039</v>
      </c>
      <c r="F69" s="4">
        <f t="shared" si="4"/>
        <v>-0.72258064516129039</v>
      </c>
      <c r="G69" s="5">
        <f t="shared" si="5"/>
        <v>0.44800000000000006</v>
      </c>
      <c r="H69" s="6">
        <f t="shared" si="6"/>
        <v>-0.44800000000000006</v>
      </c>
    </row>
    <row r="70" spans="1:8" x14ac:dyDescent="0.25">
      <c r="A70" s="2">
        <v>63</v>
      </c>
      <c r="B70" s="2">
        <f t="shared" si="0"/>
        <v>25.2</v>
      </c>
      <c r="C70" s="2">
        <f t="shared" si="1"/>
        <v>0.18080000000000002</v>
      </c>
      <c r="D70" s="2">
        <f t="shared" si="2"/>
        <v>-0.18080000000000002</v>
      </c>
      <c r="E70" s="4">
        <f t="shared" si="3"/>
        <v>0.71746031746031758</v>
      </c>
      <c r="F70" s="4">
        <f t="shared" si="4"/>
        <v>-0.71746031746031758</v>
      </c>
      <c r="G70" s="5">
        <f t="shared" si="5"/>
        <v>0.45200000000000007</v>
      </c>
      <c r="H70" s="6">
        <f t="shared" si="6"/>
        <v>-0.45200000000000007</v>
      </c>
    </row>
    <row r="71" spans="1:8" x14ac:dyDescent="0.25">
      <c r="A71" s="2">
        <v>64</v>
      </c>
      <c r="B71" s="2">
        <f t="shared" si="0"/>
        <v>25.6</v>
      </c>
      <c r="C71" s="2">
        <f t="shared" si="1"/>
        <v>0.18240000000000001</v>
      </c>
      <c r="D71" s="2">
        <f t="shared" si="2"/>
        <v>-0.18240000000000001</v>
      </c>
      <c r="E71" s="4">
        <f t="shared" si="3"/>
        <v>0.71250000000000002</v>
      </c>
      <c r="F71" s="4">
        <f t="shared" si="4"/>
        <v>-0.71250000000000002</v>
      </c>
      <c r="G71" s="5">
        <f t="shared" si="5"/>
        <v>0.45599999999999996</v>
      </c>
      <c r="H71" s="6">
        <f t="shared" si="6"/>
        <v>-0.45599999999999996</v>
      </c>
    </row>
    <row r="72" spans="1:8" x14ac:dyDescent="0.25">
      <c r="A72" s="2">
        <v>65</v>
      </c>
      <c r="B72" s="2">
        <f t="shared" ref="B72:B107" si="7">$B$2*A72/100</f>
        <v>26</v>
      </c>
      <c r="C72" s="2">
        <f t="shared" ref="C72:C107" si="8">(B72*$B$3/100+$B$2*$B$4/100)</f>
        <v>0.184</v>
      </c>
      <c r="D72" s="2">
        <f t="shared" ref="D72:D107" si="9">C72*-1</f>
        <v>-0.184</v>
      </c>
      <c r="E72" s="4">
        <f t="shared" ref="E72:E107" si="10">C72/B72*100</f>
        <v>0.70769230769230773</v>
      </c>
      <c r="F72" s="4">
        <f t="shared" ref="F72:F107" si="11">D72/B72*100</f>
        <v>-0.70769230769230773</v>
      </c>
      <c r="G72" s="5">
        <f t="shared" ref="G72:G107" si="12">C72/$B$2*100</f>
        <v>0.45999999999999996</v>
      </c>
      <c r="H72" s="6">
        <f t="shared" ref="H72:H107" si="13">G72*-1</f>
        <v>-0.45999999999999996</v>
      </c>
    </row>
    <row r="73" spans="1:8" x14ac:dyDescent="0.25">
      <c r="A73" s="2">
        <v>66</v>
      </c>
      <c r="B73" s="2">
        <f t="shared" si="7"/>
        <v>26.4</v>
      </c>
      <c r="C73" s="2">
        <f t="shared" si="8"/>
        <v>0.18559999999999999</v>
      </c>
      <c r="D73" s="2">
        <f t="shared" si="9"/>
        <v>-0.18559999999999999</v>
      </c>
      <c r="E73" s="4">
        <f t="shared" si="10"/>
        <v>0.70303030303030301</v>
      </c>
      <c r="F73" s="4">
        <f t="shared" si="11"/>
        <v>-0.70303030303030301</v>
      </c>
      <c r="G73" s="5">
        <f t="shared" si="12"/>
        <v>0.46400000000000002</v>
      </c>
      <c r="H73" s="6">
        <f t="shared" si="13"/>
        <v>-0.46400000000000002</v>
      </c>
    </row>
    <row r="74" spans="1:8" x14ac:dyDescent="0.25">
      <c r="A74" s="2">
        <v>67</v>
      </c>
      <c r="B74" s="2">
        <f t="shared" si="7"/>
        <v>26.8</v>
      </c>
      <c r="C74" s="2">
        <f t="shared" si="8"/>
        <v>0.18720000000000001</v>
      </c>
      <c r="D74" s="2">
        <f t="shared" si="9"/>
        <v>-0.18720000000000001</v>
      </c>
      <c r="E74" s="4">
        <f t="shared" si="10"/>
        <v>0.69850746268656716</v>
      </c>
      <c r="F74" s="4">
        <f t="shared" si="11"/>
        <v>-0.69850746268656716</v>
      </c>
      <c r="G74" s="5">
        <f t="shared" si="12"/>
        <v>0.46800000000000003</v>
      </c>
      <c r="H74" s="6">
        <f t="shared" si="13"/>
        <v>-0.46800000000000003</v>
      </c>
    </row>
    <row r="75" spans="1:8" x14ac:dyDescent="0.25">
      <c r="A75" s="2">
        <v>68</v>
      </c>
      <c r="B75" s="2">
        <f t="shared" si="7"/>
        <v>27.2</v>
      </c>
      <c r="C75" s="2">
        <f t="shared" si="8"/>
        <v>0.18880000000000002</v>
      </c>
      <c r="D75" s="2">
        <f t="shared" si="9"/>
        <v>-0.18880000000000002</v>
      </c>
      <c r="E75" s="4">
        <f t="shared" si="10"/>
        <v>0.69411764705882362</v>
      </c>
      <c r="F75" s="4">
        <f t="shared" si="11"/>
        <v>-0.69411764705882362</v>
      </c>
      <c r="G75" s="5">
        <f t="shared" si="12"/>
        <v>0.47200000000000003</v>
      </c>
      <c r="H75" s="6">
        <f t="shared" si="13"/>
        <v>-0.47200000000000003</v>
      </c>
    </row>
    <row r="76" spans="1:8" x14ac:dyDescent="0.25">
      <c r="A76" s="2">
        <v>69</v>
      </c>
      <c r="B76" s="2">
        <f t="shared" si="7"/>
        <v>27.6</v>
      </c>
      <c r="C76" s="2">
        <f t="shared" si="8"/>
        <v>0.19040000000000001</v>
      </c>
      <c r="D76" s="2">
        <f t="shared" si="9"/>
        <v>-0.19040000000000001</v>
      </c>
      <c r="E76" s="4">
        <f t="shared" si="10"/>
        <v>0.68985507246376809</v>
      </c>
      <c r="F76" s="4">
        <f t="shared" si="11"/>
        <v>-0.68985507246376809</v>
      </c>
      <c r="G76" s="5">
        <f t="shared" si="12"/>
        <v>0.47600000000000003</v>
      </c>
      <c r="H76" s="6">
        <f t="shared" si="13"/>
        <v>-0.47600000000000003</v>
      </c>
    </row>
    <row r="77" spans="1:8" x14ac:dyDescent="0.25">
      <c r="A77" s="2">
        <v>70</v>
      </c>
      <c r="B77" s="2">
        <f t="shared" si="7"/>
        <v>28</v>
      </c>
      <c r="C77" s="2">
        <f t="shared" si="8"/>
        <v>0.192</v>
      </c>
      <c r="D77" s="2">
        <f t="shared" si="9"/>
        <v>-0.192</v>
      </c>
      <c r="E77" s="4">
        <f t="shared" si="10"/>
        <v>0.68571428571428572</v>
      </c>
      <c r="F77" s="4">
        <f t="shared" si="11"/>
        <v>-0.68571428571428572</v>
      </c>
      <c r="G77" s="5">
        <f t="shared" si="12"/>
        <v>0.48000000000000004</v>
      </c>
      <c r="H77" s="6">
        <f t="shared" si="13"/>
        <v>-0.48000000000000004</v>
      </c>
    </row>
    <row r="78" spans="1:8" x14ac:dyDescent="0.25">
      <c r="A78" s="2">
        <v>71</v>
      </c>
      <c r="B78" s="2">
        <f t="shared" si="7"/>
        <v>28.4</v>
      </c>
      <c r="C78" s="2">
        <f t="shared" si="8"/>
        <v>0.19359999999999999</v>
      </c>
      <c r="D78" s="2">
        <f t="shared" si="9"/>
        <v>-0.19359999999999999</v>
      </c>
      <c r="E78" s="4">
        <f t="shared" si="10"/>
        <v>0.6816901408450704</v>
      </c>
      <c r="F78" s="4">
        <f t="shared" si="11"/>
        <v>-0.6816901408450704</v>
      </c>
      <c r="G78" s="5">
        <f t="shared" si="12"/>
        <v>0.48399999999999999</v>
      </c>
      <c r="H78" s="6">
        <f t="shared" si="13"/>
        <v>-0.48399999999999999</v>
      </c>
    </row>
    <row r="79" spans="1:8" x14ac:dyDescent="0.25">
      <c r="A79" s="2">
        <v>72</v>
      </c>
      <c r="B79" s="2">
        <f t="shared" si="7"/>
        <v>28.8</v>
      </c>
      <c r="C79" s="2">
        <f t="shared" si="8"/>
        <v>0.19520000000000001</v>
      </c>
      <c r="D79" s="2">
        <f t="shared" si="9"/>
        <v>-0.19520000000000001</v>
      </c>
      <c r="E79" s="4">
        <f t="shared" si="10"/>
        <v>0.67777777777777781</v>
      </c>
      <c r="F79" s="4">
        <f t="shared" si="11"/>
        <v>-0.67777777777777781</v>
      </c>
      <c r="G79" s="5">
        <f t="shared" si="12"/>
        <v>0.48800000000000004</v>
      </c>
      <c r="H79" s="6">
        <f t="shared" si="13"/>
        <v>-0.48800000000000004</v>
      </c>
    </row>
    <row r="80" spans="1:8" x14ac:dyDescent="0.25">
      <c r="A80" s="2">
        <v>73</v>
      </c>
      <c r="B80" s="2">
        <f t="shared" si="7"/>
        <v>29.2</v>
      </c>
      <c r="C80" s="2">
        <f t="shared" si="8"/>
        <v>0.1968</v>
      </c>
      <c r="D80" s="2">
        <f t="shared" si="9"/>
        <v>-0.1968</v>
      </c>
      <c r="E80" s="4">
        <f t="shared" si="10"/>
        <v>0.67397260273972603</v>
      </c>
      <c r="F80" s="4">
        <f t="shared" si="11"/>
        <v>-0.67397260273972603</v>
      </c>
      <c r="G80" s="5">
        <f t="shared" si="12"/>
        <v>0.49199999999999999</v>
      </c>
      <c r="H80" s="6">
        <f t="shared" si="13"/>
        <v>-0.49199999999999999</v>
      </c>
    </row>
    <row r="81" spans="1:8" x14ac:dyDescent="0.25">
      <c r="A81" s="2">
        <v>74</v>
      </c>
      <c r="B81" s="2">
        <f t="shared" si="7"/>
        <v>29.6</v>
      </c>
      <c r="C81" s="2">
        <f t="shared" si="8"/>
        <v>0.19840000000000002</v>
      </c>
      <c r="D81" s="2">
        <f t="shared" si="9"/>
        <v>-0.19840000000000002</v>
      </c>
      <c r="E81" s="4">
        <f t="shared" si="10"/>
        <v>0.67027027027027031</v>
      </c>
      <c r="F81" s="4">
        <f t="shared" si="11"/>
        <v>-0.67027027027027031</v>
      </c>
      <c r="G81" s="5">
        <f t="shared" si="12"/>
        <v>0.49600000000000011</v>
      </c>
      <c r="H81" s="6">
        <f t="shared" si="13"/>
        <v>-0.49600000000000011</v>
      </c>
    </row>
    <row r="82" spans="1:8" x14ac:dyDescent="0.25">
      <c r="A82" s="7">
        <v>75</v>
      </c>
      <c r="B82" s="7">
        <f t="shared" si="7"/>
        <v>30</v>
      </c>
      <c r="C82" s="7">
        <f t="shared" si="8"/>
        <v>0.2</v>
      </c>
      <c r="D82" s="7">
        <f t="shared" si="9"/>
        <v>-0.2</v>
      </c>
      <c r="E82" s="8">
        <f t="shared" si="10"/>
        <v>0.66666666666666674</v>
      </c>
      <c r="F82" s="8">
        <f t="shared" si="11"/>
        <v>-0.66666666666666674</v>
      </c>
      <c r="G82" s="9">
        <f t="shared" si="12"/>
        <v>0.5</v>
      </c>
      <c r="H82" s="7">
        <f t="shared" si="13"/>
        <v>-0.5</v>
      </c>
    </row>
    <row r="83" spans="1:8" x14ac:dyDescent="0.25">
      <c r="A83" s="2">
        <v>76</v>
      </c>
      <c r="B83" s="2">
        <f t="shared" si="7"/>
        <v>30.4</v>
      </c>
      <c r="C83" s="2">
        <f t="shared" si="8"/>
        <v>0.2016</v>
      </c>
      <c r="D83" s="2">
        <f t="shared" si="9"/>
        <v>-0.2016</v>
      </c>
      <c r="E83" s="4">
        <f t="shared" si="10"/>
        <v>0.66315789473684217</v>
      </c>
      <c r="F83" s="4">
        <f t="shared" si="11"/>
        <v>-0.66315789473684217</v>
      </c>
      <c r="G83" s="5">
        <f t="shared" si="12"/>
        <v>0.504</v>
      </c>
      <c r="H83" s="6">
        <f t="shared" si="13"/>
        <v>-0.504</v>
      </c>
    </row>
    <row r="84" spans="1:8" x14ac:dyDescent="0.25">
      <c r="A84" s="2">
        <v>77</v>
      </c>
      <c r="B84" s="2">
        <f t="shared" si="7"/>
        <v>30.8</v>
      </c>
      <c r="C84" s="2">
        <f t="shared" si="8"/>
        <v>0.20319999999999999</v>
      </c>
      <c r="D84" s="2">
        <f t="shared" si="9"/>
        <v>-0.20319999999999999</v>
      </c>
      <c r="E84" s="4">
        <f t="shared" si="10"/>
        <v>0.65974025974025963</v>
      </c>
      <c r="F84" s="4">
        <f t="shared" si="11"/>
        <v>-0.65974025974025963</v>
      </c>
      <c r="G84" s="5">
        <f t="shared" si="12"/>
        <v>0.5079999999999999</v>
      </c>
      <c r="H84" s="6">
        <f t="shared" si="13"/>
        <v>-0.5079999999999999</v>
      </c>
    </row>
    <row r="85" spans="1:8" x14ac:dyDescent="0.25">
      <c r="A85" s="2">
        <v>78</v>
      </c>
      <c r="B85" s="2">
        <f t="shared" si="7"/>
        <v>31.2</v>
      </c>
      <c r="C85" s="2">
        <f t="shared" si="8"/>
        <v>0.20480000000000001</v>
      </c>
      <c r="D85" s="2">
        <f t="shared" si="9"/>
        <v>-0.20480000000000001</v>
      </c>
      <c r="E85" s="4">
        <f t="shared" si="10"/>
        <v>0.65641025641025641</v>
      </c>
      <c r="F85" s="4">
        <f t="shared" si="11"/>
        <v>-0.65641025641025641</v>
      </c>
      <c r="G85" s="5">
        <f t="shared" si="12"/>
        <v>0.51200000000000001</v>
      </c>
      <c r="H85" s="6">
        <f t="shared" si="13"/>
        <v>-0.51200000000000001</v>
      </c>
    </row>
    <row r="86" spans="1:8" x14ac:dyDescent="0.25">
      <c r="A86" s="2">
        <v>79</v>
      </c>
      <c r="B86" s="2">
        <f t="shared" si="7"/>
        <v>31.6</v>
      </c>
      <c r="C86" s="2">
        <f t="shared" si="8"/>
        <v>0.20640000000000003</v>
      </c>
      <c r="D86" s="2">
        <f t="shared" si="9"/>
        <v>-0.20640000000000003</v>
      </c>
      <c r="E86" s="4">
        <f t="shared" si="10"/>
        <v>0.65316455696202536</v>
      </c>
      <c r="F86" s="4">
        <f t="shared" si="11"/>
        <v>-0.65316455696202536</v>
      </c>
      <c r="G86" s="5">
        <f t="shared" si="12"/>
        <v>0.51600000000000001</v>
      </c>
      <c r="H86" s="6">
        <f t="shared" si="13"/>
        <v>-0.51600000000000001</v>
      </c>
    </row>
    <row r="87" spans="1:8" x14ac:dyDescent="0.25">
      <c r="A87" s="2">
        <v>80</v>
      </c>
      <c r="B87" s="2">
        <f t="shared" si="7"/>
        <v>32</v>
      </c>
      <c r="C87" s="2">
        <f t="shared" si="8"/>
        <v>0.20800000000000002</v>
      </c>
      <c r="D87" s="2">
        <f t="shared" si="9"/>
        <v>-0.20800000000000002</v>
      </c>
      <c r="E87" s="4">
        <f t="shared" si="10"/>
        <v>0.65</v>
      </c>
      <c r="F87" s="4">
        <f t="shared" si="11"/>
        <v>-0.65</v>
      </c>
      <c r="G87" s="5">
        <f t="shared" si="12"/>
        <v>0.52</v>
      </c>
      <c r="H87" s="6">
        <f t="shared" si="13"/>
        <v>-0.52</v>
      </c>
    </row>
    <row r="88" spans="1:8" x14ac:dyDescent="0.25">
      <c r="A88" s="2">
        <v>81</v>
      </c>
      <c r="B88" s="2">
        <f t="shared" si="7"/>
        <v>32.4</v>
      </c>
      <c r="C88" s="2">
        <f t="shared" si="8"/>
        <v>0.20960000000000001</v>
      </c>
      <c r="D88" s="2">
        <f t="shared" si="9"/>
        <v>-0.20960000000000001</v>
      </c>
      <c r="E88" s="4">
        <f t="shared" si="10"/>
        <v>0.64691358024691359</v>
      </c>
      <c r="F88" s="4">
        <f t="shared" si="11"/>
        <v>-0.64691358024691359</v>
      </c>
      <c r="G88" s="5">
        <f t="shared" si="12"/>
        <v>0.52400000000000002</v>
      </c>
      <c r="H88" s="6">
        <f t="shared" si="13"/>
        <v>-0.52400000000000002</v>
      </c>
    </row>
    <row r="89" spans="1:8" x14ac:dyDescent="0.25">
      <c r="A89" s="2">
        <v>82</v>
      </c>
      <c r="B89" s="2">
        <f t="shared" si="7"/>
        <v>32.799999999999997</v>
      </c>
      <c r="C89" s="2">
        <f t="shared" si="8"/>
        <v>0.2112</v>
      </c>
      <c r="D89" s="2">
        <f t="shared" si="9"/>
        <v>-0.2112</v>
      </c>
      <c r="E89" s="4">
        <f t="shared" si="10"/>
        <v>0.64390243902439026</v>
      </c>
      <c r="F89" s="4">
        <f t="shared" si="11"/>
        <v>-0.64390243902439026</v>
      </c>
      <c r="G89" s="5">
        <f t="shared" si="12"/>
        <v>0.52800000000000002</v>
      </c>
      <c r="H89" s="6">
        <f t="shared" si="13"/>
        <v>-0.52800000000000002</v>
      </c>
    </row>
    <row r="90" spans="1:8" x14ac:dyDescent="0.25">
      <c r="A90" s="2">
        <v>83</v>
      </c>
      <c r="B90" s="2">
        <f t="shared" si="7"/>
        <v>33.200000000000003</v>
      </c>
      <c r="C90" s="2">
        <f t="shared" si="8"/>
        <v>0.21279999999999999</v>
      </c>
      <c r="D90" s="2">
        <f t="shared" si="9"/>
        <v>-0.21279999999999999</v>
      </c>
      <c r="E90" s="4">
        <f t="shared" si="10"/>
        <v>0.64096385542168666</v>
      </c>
      <c r="F90" s="4">
        <f t="shared" si="11"/>
        <v>-0.64096385542168666</v>
      </c>
      <c r="G90" s="5">
        <f t="shared" si="12"/>
        <v>0.53200000000000003</v>
      </c>
      <c r="H90" s="6">
        <f t="shared" si="13"/>
        <v>-0.53200000000000003</v>
      </c>
    </row>
    <row r="91" spans="1:8" x14ac:dyDescent="0.25">
      <c r="A91" s="2">
        <v>84</v>
      </c>
      <c r="B91" s="2">
        <f t="shared" si="7"/>
        <v>33.6</v>
      </c>
      <c r="C91" s="2">
        <f t="shared" si="8"/>
        <v>0.21440000000000003</v>
      </c>
      <c r="D91" s="2">
        <f t="shared" si="9"/>
        <v>-0.21440000000000003</v>
      </c>
      <c r="E91" s="4">
        <f t="shared" si="10"/>
        <v>0.63809523809523816</v>
      </c>
      <c r="F91" s="4">
        <f t="shared" si="11"/>
        <v>-0.63809523809523816</v>
      </c>
      <c r="G91" s="5">
        <f t="shared" si="12"/>
        <v>0.53600000000000014</v>
      </c>
      <c r="H91" s="6">
        <f t="shared" si="13"/>
        <v>-0.53600000000000014</v>
      </c>
    </row>
    <row r="92" spans="1:8" x14ac:dyDescent="0.25">
      <c r="A92" s="2">
        <v>85</v>
      </c>
      <c r="B92" s="2">
        <f t="shared" si="7"/>
        <v>34</v>
      </c>
      <c r="C92" s="2">
        <f t="shared" si="8"/>
        <v>0.21600000000000003</v>
      </c>
      <c r="D92" s="2">
        <f t="shared" si="9"/>
        <v>-0.21600000000000003</v>
      </c>
      <c r="E92" s="4">
        <f t="shared" si="10"/>
        <v>0.6352941176470589</v>
      </c>
      <c r="F92" s="4">
        <f t="shared" si="11"/>
        <v>-0.6352941176470589</v>
      </c>
      <c r="G92" s="5">
        <f t="shared" si="12"/>
        <v>0.54</v>
      </c>
      <c r="H92" s="6">
        <f t="shared" si="13"/>
        <v>-0.54</v>
      </c>
    </row>
    <row r="93" spans="1:8" x14ac:dyDescent="0.25">
      <c r="A93" s="2">
        <v>86</v>
      </c>
      <c r="B93" s="2">
        <f t="shared" si="7"/>
        <v>34.4</v>
      </c>
      <c r="C93" s="2">
        <f t="shared" si="8"/>
        <v>0.21760000000000002</v>
      </c>
      <c r="D93" s="2">
        <f t="shared" si="9"/>
        <v>-0.21760000000000002</v>
      </c>
      <c r="E93" s="4">
        <f>C93/B93*100</f>
        <v>0.63255813953488382</v>
      </c>
      <c r="F93" s="4">
        <f t="shared" si="11"/>
        <v>-0.63255813953488382</v>
      </c>
      <c r="G93" s="5">
        <f t="shared" si="12"/>
        <v>0.54400000000000004</v>
      </c>
      <c r="H93" s="6">
        <f t="shared" si="13"/>
        <v>-0.54400000000000004</v>
      </c>
    </row>
    <row r="94" spans="1:8" x14ac:dyDescent="0.25">
      <c r="A94" s="2">
        <v>87</v>
      </c>
      <c r="B94" s="2">
        <f t="shared" si="7"/>
        <v>34.799999999999997</v>
      </c>
      <c r="C94" s="2">
        <f t="shared" si="8"/>
        <v>0.21920000000000001</v>
      </c>
      <c r="D94" s="2">
        <f t="shared" si="9"/>
        <v>-0.21920000000000001</v>
      </c>
      <c r="E94" s="4">
        <f t="shared" si="10"/>
        <v>0.62988505747126444</v>
      </c>
      <c r="F94" s="4">
        <f t="shared" si="11"/>
        <v>-0.62988505747126444</v>
      </c>
      <c r="G94" s="5">
        <f t="shared" si="12"/>
        <v>0.54800000000000004</v>
      </c>
      <c r="H94" s="6">
        <f t="shared" si="13"/>
        <v>-0.54800000000000004</v>
      </c>
    </row>
    <row r="95" spans="1:8" x14ac:dyDescent="0.25">
      <c r="A95" s="2">
        <v>88</v>
      </c>
      <c r="B95" s="2">
        <f t="shared" si="7"/>
        <v>35.200000000000003</v>
      </c>
      <c r="C95" s="2">
        <f t="shared" si="8"/>
        <v>0.2208</v>
      </c>
      <c r="D95" s="2">
        <f t="shared" si="9"/>
        <v>-0.2208</v>
      </c>
      <c r="E95" s="4">
        <f t="shared" si="10"/>
        <v>0.6272727272727272</v>
      </c>
      <c r="F95" s="4">
        <f t="shared" si="11"/>
        <v>-0.6272727272727272</v>
      </c>
      <c r="G95" s="5">
        <f t="shared" si="12"/>
        <v>0.55199999999999994</v>
      </c>
      <c r="H95" s="6">
        <f t="shared" si="13"/>
        <v>-0.55199999999999994</v>
      </c>
    </row>
    <row r="96" spans="1:8" x14ac:dyDescent="0.25">
      <c r="A96" s="2">
        <v>89</v>
      </c>
      <c r="B96" s="2">
        <f t="shared" si="7"/>
        <v>35.6</v>
      </c>
      <c r="C96" s="2">
        <f t="shared" si="8"/>
        <v>0.22240000000000004</v>
      </c>
      <c r="D96" s="2">
        <f t="shared" si="9"/>
        <v>-0.22240000000000004</v>
      </c>
      <c r="E96" s="4">
        <f t="shared" si="10"/>
        <v>0.62471910112359552</v>
      </c>
      <c r="F96" s="4">
        <f t="shared" si="11"/>
        <v>-0.62471910112359552</v>
      </c>
      <c r="G96" s="5">
        <f t="shared" si="12"/>
        <v>0.55600000000000005</v>
      </c>
      <c r="H96" s="6">
        <f t="shared" si="13"/>
        <v>-0.55600000000000005</v>
      </c>
    </row>
    <row r="97" spans="1:8" x14ac:dyDescent="0.25">
      <c r="A97" s="2">
        <v>90</v>
      </c>
      <c r="B97" s="2">
        <f t="shared" si="7"/>
        <v>36</v>
      </c>
      <c r="C97" s="2">
        <f t="shared" si="8"/>
        <v>0.22400000000000003</v>
      </c>
      <c r="D97" s="2">
        <f t="shared" si="9"/>
        <v>-0.22400000000000003</v>
      </c>
      <c r="E97" s="4">
        <f t="shared" si="10"/>
        <v>0.62222222222222223</v>
      </c>
      <c r="F97" s="4">
        <f t="shared" si="11"/>
        <v>-0.62222222222222223</v>
      </c>
      <c r="G97" s="5">
        <f t="shared" si="12"/>
        <v>0.56000000000000005</v>
      </c>
      <c r="H97" s="6">
        <f t="shared" si="13"/>
        <v>-0.56000000000000005</v>
      </c>
    </row>
    <row r="98" spans="1:8" x14ac:dyDescent="0.25">
      <c r="A98" s="2">
        <v>91</v>
      </c>
      <c r="B98" s="2">
        <f t="shared" si="7"/>
        <v>36.4</v>
      </c>
      <c r="C98" s="2">
        <f t="shared" si="8"/>
        <v>0.22560000000000002</v>
      </c>
      <c r="D98" s="2">
        <f t="shared" si="9"/>
        <v>-0.22560000000000002</v>
      </c>
      <c r="E98" s="4">
        <f t="shared" si="10"/>
        <v>0.61978021978021991</v>
      </c>
      <c r="F98" s="4">
        <f t="shared" si="11"/>
        <v>-0.61978021978021991</v>
      </c>
      <c r="G98" s="5">
        <f t="shared" si="12"/>
        <v>0.56400000000000006</v>
      </c>
      <c r="H98" s="6">
        <f t="shared" si="13"/>
        <v>-0.56400000000000006</v>
      </c>
    </row>
    <row r="99" spans="1:8" x14ac:dyDescent="0.25">
      <c r="A99" s="2">
        <v>92</v>
      </c>
      <c r="B99" s="2">
        <f t="shared" si="7"/>
        <v>36.799999999999997</v>
      </c>
      <c r="C99" s="2">
        <f t="shared" si="8"/>
        <v>0.22720000000000001</v>
      </c>
      <c r="D99" s="2">
        <f t="shared" si="9"/>
        <v>-0.22720000000000001</v>
      </c>
      <c r="E99" s="4">
        <f t="shared" si="10"/>
        <v>0.61739130434782619</v>
      </c>
      <c r="F99" s="4">
        <f t="shared" si="11"/>
        <v>-0.61739130434782619</v>
      </c>
      <c r="G99" s="5">
        <f t="shared" si="12"/>
        <v>0.56800000000000006</v>
      </c>
      <c r="H99" s="6">
        <f t="shared" si="13"/>
        <v>-0.56800000000000006</v>
      </c>
    </row>
    <row r="100" spans="1:8" x14ac:dyDescent="0.25">
      <c r="A100" s="2">
        <v>93</v>
      </c>
      <c r="B100" s="2">
        <f t="shared" si="7"/>
        <v>37.200000000000003</v>
      </c>
      <c r="C100" s="2">
        <f t="shared" si="8"/>
        <v>0.2288</v>
      </c>
      <c r="D100" s="2">
        <f t="shared" si="9"/>
        <v>-0.2288</v>
      </c>
      <c r="E100" s="4">
        <f>C100/B100*100</f>
        <v>0.61505376344086016</v>
      </c>
      <c r="F100" s="4">
        <f t="shared" si="11"/>
        <v>-0.61505376344086016</v>
      </c>
      <c r="G100" s="5">
        <f t="shared" si="12"/>
        <v>0.57200000000000006</v>
      </c>
      <c r="H100" s="6">
        <f t="shared" si="13"/>
        <v>-0.57200000000000006</v>
      </c>
    </row>
    <row r="101" spans="1:8" x14ac:dyDescent="0.25">
      <c r="A101" s="2">
        <v>94</v>
      </c>
      <c r="B101" s="2">
        <f t="shared" si="7"/>
        <v>37.6</v>
      </c>
      <c r="C101" s="2">
        <f t="shared" si="8"/>
        <v>0.23039999999999999</v>
      </c>
      <c r="D101" s="2">
        <f t="shared" si="9"/>
        <v>-0.23039999999999999</v>
      </c>
      <c r="E101" s="4">
        <f t="shared" si="10"/>
        <v>0.61276595744680851</v>
      </c>
      <c r="F101" s="4">
        <f t="shared" si="11"/>
        <v>-0.61276595744680851</v>
      </c>
      <c r="G101" s="5">
        <f t="shared" si="12"/>
        <v>0.57599999999999996</v>
      </c>
      <c r="H101" s="6">
        <f t="shared" si="13"/>
        <v>-0.57599999999999996</v>
      </c>
    </row>
    <row r="102" spans="1:8" x14ac:dyDescent="0.25">
      <c r="A102" s="2">
        <v>95</v>
      </c>
      <c r="B102" s="2">
        <f t="shared" si="7"/>
        <v>38</v>
      </c>
      <c r="C102" s="2">
        <f t="shared" si="8"/>
        <v>0.23200000000000004</v>
      </c>
      <c r="D102" s="2">
        <f t="shared" si="9"/>
        <v>-0.23200000000000004</v>
      </c>
      <c r="E102" s="4">
        <f t="shared" si="10"/>
        <v>0.61052631578947381</v>
      </c>
      <c r="F102" s="4">
        <f t="shared" si="11"/>
        <v>-0.61052631578947381</v>
      </c>
      <c r="G102" s="5">
        <f t="shared" si="12"/>
        <v>0.58000000000000018</v>
      </c>
      <c r="H102" s="6">
        <f t="shared" si="13"/>
        <v>-0.58000000000000018</v>
      </c>
    </row>
    <row r="103" spans="1:8" x14ac:dyDescent="0.25">
      <c r="A103" s="2">
        <v>96</v>
      </c>
      <c r="B103" s="2">
        <f t="shared" si="7"/>
        <v>38.4</v>
      </c>
      <c r="C103" s="2">
        <f t="shared" si="8"/>
        <v>0.23359999999999997</v>
      </c>
      <c r="D103" s="2">
        <f t="shared" si="9"/>
        <v>-0.23359999999999997</v>
      </c>
      <c r="E103" s="4">
        <f t="shared" si="10"/>
        <v>0.60833333333333328</v>
      </c>
      <c r="F103" s="4">
        <f t="shared" si="11"/>
        <v>-0.60833333333333328</v>
      </c>
      <c r="G103" s="5">
        <f t="shared" si="12"/>
        <v>0.58399999999999996</v>
      </c>
      <c r="H103" s="6">
        <f t="shared" si="13"/>
        <v>-0.58399999999999996</v>
      </c>
    </row>
    <row r="104" spans="1:8" x14ac:dyDescent="0.25">
      <c r="A104" s="2">
        <v>97</v>
      </c>
      <c r="B104" s="2">
        <f t="shared" si="7"/>
        <v>38.799999999999997</v>
      </c>
      <c r="C104" s="2">
        <f t="shared" si="8"/>
        <v>0.23520000000000002</v>
      </c>
      <c r="D104" s="2">
        <f t="shared" si="9"/>
        <v>-0.23520000000000002</v>
      </c>
      <c r="E104" s="4">
        <f t="shared" si="10"/>
        <v>0.60618556701030935</v>
      </c>
      <c r="F104" s="4">
        <f t="shared" si="11"/>
        <v>-0.60618556701030935</v>
      </c>
      <c r="G104" s="5">
        <f t="shared" si="12"/>
        <v>0.58800000000000008</v>
      </c>
      <c r="H104" s="6">
        <f t="shared" si="13"/>
        <v>-0.58800000000000008</v>
      </c>
    </row>
    <row r="105" spans="1:8" x14ac:dyDescent="0.25">
      <c r="A105" s="2">
        <v>98</v>
      </c>
      <c r="B105" s="2">
        <f t="shared" si="7"/>
        <v>39.200000000000003</v>
      </c>
      <c r="C105" s="2">
        <f t="shared" si="8"/>
        <v>0.23680000000000001</v>
      </c>
      <c r="D105" s="2">
        <f t="shared" si="9"/>
        <v>-0.23680000000000001</v>
      </c>
      <c r="E105" s="4">
        <f t="shared" si="10"/>
        <v>0.60408163265306114</v>
      </c>
      <c r="F105" s="4">
        <f t="shared" si="11"/>
        <v>-0.60408163265306114</v>
      </c>
      <c r="G105" s="5">
        <f t="shared" si="12"/>
        <v>0.59199999999999997</v>
      </c>
      <c r="H105" s="6">
        <f t="shared" si="13"/>
        <v>-0.59199999999999997</v>
      </c>
    </row>
    <row r="106" spans="1:8" x14ac:dyDescent="0.25">
      <c r="A106" s="2">
        <v>99</v>
      </c>
      <c r="B106" s="2">
        <f t="shared" si="7"/>
        <v>39.6</v>
      </c>
      <c r="C106" s="2">
        <f t="shared" si="8"/>
        <v>0.2384</v>
      </c>
      <c r="D106" s="2">
        <f t="shared" si="9"/>
        <v>-0.2384</v>
      </c>
      <c r="E106" s="4">
        <f t="shared" si="10"/>
        <v>0.60202020202020201</v>
      </c>
      <c r="F106" s="4">
        <f t="shared" si="11"/>
        <v>-0.60202020202020201</v>
      </c>
      <c r="G106" s="5">
        <f t="shared" si="12"/>
        <v>0.59599999999999997</v>
      </c>
      <c r="H106" s="6">
        <f t="shared" si="13"/>
        <v>-0.59599999999999997</v>
      </c>
    </row>
    <row r="107" spans="1:8" x14ac:dyDescent="0.25">
      <c r="A107" s="2">
        <v>100</v>
      </c>
      <c r="B107" s="2">
        <f t="shared" si="7"/>
        <v>40</v>
      </c>
      <c r="C107" s="2">
        <f t="shared" si="8"/>
        <v>0.24</v>
      </c>
      <c r="D107" s="2">
        <f t="shared" si="9"/>
        <v>-0.24</v>
      </c>
      <c r="E107" s="4">
        <f t="shared" si="10"/>
        <v>0.6</v>
      </c>
      <c r="F107" s="4">
        <f t="shared" si="11"/>
        <v>-0.6</v>
      </c>
      <c r="G107" s="5">
        <f t="shared" si="12"/>
        <v>0.6</v>
      </c>
      <c r="H107" s="6">
        <f t="shared" si="13"/>
        <v>-0.6</v>
      </c>
    </row>
  </sheetData>
  <mergeCells count="1">
    <mergeCell ref="G5:H5"/>
  </mergeCells>
  <pageMargins left="0.7" right="0.7" top="0.75" bottom="0.75" header="0.3" footer="0.3"/>
  <pageSetup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GE User</dc:creator>
  <cp:lastModifiedBy>GE User</cp:lastModifiedBy>
  <dcterms:created xsi:type="dcterms:W3CDTF">2016-04-06T11:31:44Z</dcterms:created>
  <dcterms:modified xsi:type="dcterms:W3CDTF">2016-12-13T12:31:12Z</dcterms:modified>
</cp:coreProperties>
</file>