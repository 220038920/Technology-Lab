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/>
  <mc:AlternateContent xmlns:mc="http://schemas.openxmlformats.org/markup-compatibility/2006">
    <mc:Choice Requires="x15">
      <x15ac:absPath xmlns:x15ac="http://schemas.microsoft.com/office/spreadsheetml/2010/11/ac" url="C:\TechnologyLab\NI-2010\Drivers\Omega FMA-1600A Series Gas Flow Meter\Documentation\"/>
    </mc:Choice>
  </mc:AlternateContent>
  <xr:revisionPtr revIDLastSave="0" documentId="13_ncr:1_{3455B4AB-4569-41EF-BACA-D8D3BF0B6B24}" xr6:coauthVersionLast="41" xr6:coauthVersionMax="41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9" i="1"/>
  <c r="B10" i="1"/>
  <c r="B11" i="1"/>
  <c r="B12" i="1"/>
  <c r="B8" i="1"/>
  <c r="E107" i="1" l="1"/>
  <c r="C107" i="1"/>
  <c r="D107" i="1" s="1"/>
  <c r="E99" i="1"/>
  <c r="C99" i="1"/>
  <c r="D99" i="1" s="1"/>
  <c r="E91" i="1"/>
  <c r="F91" i="1" s="1"/>
  <c r="H91" i="1" s="1"/>
  <c r="C91" i="1"/>
  <c r="D91" i="1" s="1"/>
  <c r="E83" i="1"/>
  <c r="C83" i="1"/>
  <c r="D83" i="1" s="1"/>
  <c r="E75" i="1"/>
  <c r="G75" i="1" s="1"/>
  <c r="C75" i="1"/>
  <c r="D75" i="1" s="1"/>
  <c r="E67" i="1"/>
  <c r="F67" i="1" s="1"/>
  <c r="H67" i="1" s="1"/>
  <c r="C67" i="1"/>
  <c r="D67" i="1" s="1"/>
  <c r="E59" i="1"/>
  <c r="G59" i="1" s="1"/>
  <c r="C59" i="1"/>
  <c r="D59" i="1" s="1"/>
  <c r="E51" i="1"/>
  <c r="G51" i="1" s="1"/>
  <c r="C51" i="1"/>
  <c r="D51" i="1" s="1"/>
  <c r="E39" i="1"/>
  <c r="F39" i="1" s="1"/>
  <c r="H39" i="1" s="1"/>
  <c r="C39" i="1"/>
  <c r="D39" i="1" s="1"/>
  <c r="E31" i="1"/>
  <c r="G31" i="1" s="1"/>
  <c r="C31" i="1"/>
  <c r="D31" i="1" s="1"/>
  <c r="E23" i="1"/>
  <c r="F23" i="1" s="1"/>
  <c r="H23" i="1" s="1"/>
  <c r="C23" i="1"/>
  <c r="D23" i="1" s="1"/>
  <c r="E15" i="1"/>
  <c r="G15" i="1" s="1"/>
  <c r="C15" i="1"/>
  <c r="D15" i="1" s="1"/>
  <c r="E106" i="1"/>
  <c r="G106" i="1" s="1"/>
  <c r="C106" i="1"/>
  <c r="D106" i="1" s="1"/>
  <c r="E98" i="1"/>
  <c r="G98" i="1" s="1"/>
  <c r="C98" i="1"/>
  <c r="D98" i="1" s="1"/>
  <c r="E90" i="1"/>
  <c r="G90" i="1" s="1"/>
  <c r="C90" i="1"/>
  <c r="D90" i="1" s="1"/>
  <c r="E86" i="1"/>
  <c r="G86" i="1" s="1"/>
  <c r="C86" i="1"/>
  <c r="D86" i="1" s="1"/>
  <c r="E78" i="1"/>
  <c r="G78" i="1" s="1"/>
  <c r="C78" i="1"/>
  <c r="D78" i="1" s="1"/>
  <c r="E70" i="1"/>
  <c r="F70" i="1" s="1"/>
  <c r="H70" i="1" s="1"/>
  <c r="C70" i="1"/>
  <c r="D70" i="1" s="1"/>
  <c r="E62" i="1"/>
  <c r="G62" i="1" s="1"/>
  <c r="C62" i="1"/>
  <c r="D62" i="1" s="1"/>
  <c r="E54" i="1"/>
  <c r="F54" i="1" s="1"/>
  <c r="H54" i="1" s="1"/>
  <c r="C54" i="1"/>
  <c r="D54" i="1" s="1"/>
  <c r="E42" i="1"/>
  <c r="G42" i="1" s="1"/>
  <c r="C42" i="1"/>
  <c r="D42" i="1" s="1"/>
  <c r="E12" i="1"/>
  <c r="G12" i="1" s="1"/>
  <c r="C12" i="1"/>
  <c r="D12" i="1" s="1"/>
  <c r="E108" i="1"/>
  <c r="G108" i="1" s="1"/>
  <c r="C108" i="1"/>
  <c r="D108" i="1" s="1"/>
  <c r="E104" i="1"/>
  <c r="G104" i="1" s="1"/>
  <c r="C104" i="1"/>
  <c r="D104" i="1" s="1"/>
  <c r="E100" i="1"/>
  <c r="G100" i="1" s="1"/>
  <c r="C100" i="1"/>
  <c r="D100" i="1" s="1"/>
  <c r="E96" i="1"/>
  <c r="F96" i="1" s="1"/>
  <c r="H96" i="1" s="1"/>
  <c r="C96" i="1"/>
  <c r="D96" i="1" s="1"/>
  <c r="E92" i="1"/>
  <c r="G92" i="1" s="1"/>
  <c r="C92" i="1"/>
  <c r="D92" i="1" s="1"/>
  <c r="E88" i="1"/>
  <c r="G88" i="1" s="1"/>
  <c r="C88" i="1"/>
  <c r="D88" i="1" s="1"/>
  <c r="E84" i="1"/>
  <c r="G84" i="1" s="1"/>
  <c r="C84" i="1"/>
  <c r="D84" i="1" s="1"/>
  <c r="E80" i="1"/>
  <c r="F80" i="1" s="1"/>
  <c r="H80" i="1" s="1"/>
  <c r="C80" i="1"/>
  <c r="D80" i="1" s="1"/>
  <c r="E76" i="1"/>
  <c r="G76" i="1" s="1"/>
  <c r="C76" i="1"/>
  <c r="D76" i="1" s="1"/>
  <c r="E72" i="1"/>
  <c r="G72" i="1" s="1"/>
  <c r="C72" i="1"/>
  <c r="D72" i="1" s="1"/>
  <c r="E68" i="1"/>
  <c r="G68" i="1" s="1"/>
  <c r="C68" i="1"/>
  <c r="D68" i="1" s="1"/>
  <c r="E64" i="1"/>
  <c r="F64" i="1" s="1"/>
  <c r="H64" i="1" s="1"/>
  <c r="C64" i="1"/>
  <c r="D64" i="1" s="1"/>
  <c r="E60" i="1"/>
  <c r="G60" i="1" s="1"/>
  <c r="C60" i="1"/>
  <c r="D60" i="1" s="1"/>
  <c r="E56" i="1"/>
  <c r="G56" i="1" s="1"/>
  <c r="C56" i="1"/>
  <c r="D56" i="1" s="1"/>
  <c r="E52" i="1"/>
  <c r="G52" i="1" s="1"/>
  <c r="C52" i="1"/>
  <c r="D52" i="1" s="1"/>
  <c r="E48" i="1"/>
  <c r="F48" i="1" s="1"/>
  <c r="H48" i="1" s="1"/>
  <c r="C48" i="1"/>
  <c r="D48" i="1" s="1"/>
  <c r="E44" i="1"/>
  <c r="G44" i="1" s="1"/>
  <c r="C44" i="1"/>
  <c r="D44" i="1" s="1"/>
  <c r="E40" i="1"/>
  <c r="G40" i="1" s="1"/>
  <c r="C40" i="1"/>
  <c r="D40" i="1" s="1"/>
  <c r="E36" i="1"/>
  <c r="G36" i="1" s="1"/>
  <c r="C36" i="1"/>
  <c r="D36" i="1" s="1"/>
  <c r="E32" i="1"/>
  <c r="I32" i="1" s="1"/>
  <c r="J32" i="1" s="1"/>
  <c r="C32" i="1"/>
  <c r="D32" i="1" s="1"/>
  <c r="E28" i="1"/>
  <c r="G28" i="1" s="1"/>
  <c r="C28" i="1"/>
  <c r="D28" i="1" s="1"/>
  <c r="E24" i="1"/>
  <c r="G24" i="1" s="1"/>
  <c r="C24" i="1"/>
  <c r="D24" i="1" s="1"/>
  <c r="E20" i="1"/>
  <c r="G20" i="1" s="1"/>
  <c r="C20" i="1"/>
  <c r="D20" i="1" s="1"/>
  <c r="E16" i="1"/>
  <c r="G16" i="1" s="1"/>
  <c r="C16" i="1"/>
  <c r="D16" i="1" s="1"/>
  <c r="E30" i="1"/>
  <c r="F30" i="1" s="1"/>
  <c r="H30" i="1" s="1"/>
  <c r="C30" i="1"/>
  <c r="D30" i="1" s="1"/>
  <c r="E26" i="1"/>
  <c r="I26" i="1" s="1"/>
  <c r="J26" i="1" s="1"/>
  <c r="C26" i="1"/>
  <c r="D26" i="1" s="1"/>
  <c r="E22" i="1"/>
  <c r="F22" i="1" s="1"/>
  <c r="H22" i="1" s="1"/>
  <c r="C22" i="1"/>
  <c r="D22" i="1" s="1"/>
  <c r="E18" i="1"/>
  <c r="F18" i="1" s="1"/>
  <c r="H18" i="1" s="1"/>
  <c r="C18" i="1"/>
  <c r="D18" i="1" s="1"/>
  <c r="E14" i="1"/>
  <c r="F14" i="1" s="1"/>
  <c r="H14" i="1" s="1"/>
  <c r="C14" i="1"/>
  <c r="D14" i="1" s="1"/>
  <c r="E11" i="1"/>
  <c r="G11" i="1" s="1"/>
  <c r="C11" i="1"/>
  <c r="D11" i="1" s="1"/>
  <c r="E103" i="1"/>
  <c r="F103" i="1" s="1"/>
  <c r="H103" i="1" s="1"/>
  <c r="C103" i="1"/>
  <c r="D103" i="1" s="1"/>
  <c r="E95" i="1"/>
  <c r="F95" i="1" s="1"/>
  <c r="H95" i="1" s="1"/>
  <c r="C95" i="1"/>
  <c r="D95" i="1" s="1"/>
  <c r="E87" i="1"/>
  <c r="G87" i="1" s="1"/>
  <c r="C87" i="1"/>
  <c r="D87" i="1" s="1"/>
  <c r="E79" i="1"/>
  <c r="G79" i="1" s="1"/>
  <c r="C79" i="1"/>
  <c r="D79" i="1" s="1"/>
  <c r="E71" i="1"/>
  <c r="G71" i="1" s="1"/>
  <c r="C71" i="1"/>
  <c r="D71" i="1" s="1"/>
  <c r="E63" i="1"/>
  <c r="G63" i="1" s="1"/>
  <c r="C63" i="1"/>
  <c r="D63" i="1" s="1"/>
  <c r="E55" i="1"/>
  <c r="G55" i="1" s="1"/>
  <c r="C55" i="1"/>
  <c r="D55" i="1" s="1"/>
  <c r="E47" i="1"/>
  <c r="G47" i="1" s="1"/>
  <c r="C47" i="1"/>
  <c r="D47" i="1" s="1"/>
  <c r="E43" i="1"/>
  <c r="G43" i="1" s="1"/>
  <c r="C43" i="1"/>
  <c r="D43" i="1" s="1"/>
  <c r="E35" i="1"/>
  <c r="G35" i="1" s="1"/>
  <c r="C35" i="1"/>
  <c r="D35" i="1" s="1"/>
  <c r="E27" i="1"/>
  <c r="G27" i="1" s="1"/>
  <c r="C27" i="1"/>
  <c r="D27" i="1" s="1"/>
  <c r="E19" i="1"/>
  <c r="G19" i="1" s="1"/>
  <c r="C19" i="1"/>
  <c r="D19" i="1" s="1"/>
  <c r="E10" i="1"/>
  <c r="G10" i="1" s="1"/>
  <c r="C10" i="1"/>
  <c r="D10" i="1" s="1"/>
  <c r="E102" i="1"/>
  <c r="F102" i="1" s="1"/>
  <c r="H102" i="1" s="1"/>
  <c r="C102" i="1"/>
  <c r="D102" i="1" s="1"/>
  <c r="E94" i="1"/>
  <c r="G94" i="1" s="1"/>
  <c r="C94" i="1"/>
  <c r="D94" i="1" s="1"/>
  <c r="E82" i="1"/>
  <c r="G82" i="1" s="1"/>
  <c r="C82" i="1"/>
  <c r="D82" i="1" s="1"/>
  <c r="E74" i="1"/>
  <c r="G74" i="1" s="1"/>
  <c r="C74" i="1"/>
  <c r="D74" i="1" s="1"/>
  <c r="E66" i="1"/>
  <c r="G66" i="1" s="1"/>
  <c r="C66" i="1"/>
  <c r="D66" i="1" s="1"/>
  <c r="E58" i="1"/>
  <c r="G58" i="1" s="1"/>
  <c r="C58" i="1"/>
  <c r="D58" i="1" s="1"/>
  <c r="E50" i="1"/>
  <c r="G50" i="1" s="1"/>
  <c r="C50" i="1"/>
  <c r="D50" i="1" s="1"/>
  <c r="E46" i="1"/>
  <c r="G46" i="1" s="1"/>
  <c r="C46" i="1"/>
  <c r="D46" i="1" s="1"/>
  <c r="E38" i="1"/>
  <c r="G38" i="1" s="1"/>
  <c r="C38" i="1"/>
  <c r="D38" i="1" s="1"/>
  <c r="E34" i="1"/>
  <c r="G34" i="1" s="1"/>
  <c r="C34" i="1"/>
  <c r="D34" i="1" s="1"/>
  <c r="E8" i="1"/>
  <c r="I8" i="1" s="1"/>
  <c r="J8" i="1" s="1"/>
  <c r="C8" i="1"/>
  <c r="D8" i="1" s="1"/>
  <c r="E9" i="1"/>
  <c r="F9" i="1" s="1"/>
  <c r="H9" i="1" s="1"/>
  <c r="C9" i="1"/>
  <c r="D9" i="1" s="1"/>
  <c r="E105" i="1"/>
  <c r="G105" i="1" s="1"/>
  <c r="C105" i="1"/>
  <c r="D105" i="1" s="1"/>
  <c r="E101" i="1"/>
  <c r="G101" i="1" s="1"/>
  <c r="C101" i="1"/>
  <c r="D101" i="1" s="1"/>
  <c r="E97" i="1"/>
  <c r="G97" i="1" s="1"/>
  <c r="C97" i="1"/>
  <c r="D97" i="1" s="1"/>
  <c r="E93" i="1"/>
  <c r="G93" i="1" s="1"/>
  <c r="C93" i="1"/>
  <c r="D93" i="1" s="1"/>
  <c r="E89" i="1"/>
  <c r="G89" i="1" s="1"/>
  <c r="C89" i="1"/>
  <c r="D89" i="1" s="1"/>
  <c r="E85" i="1"/>
  <c r="F85" i="1" s="1"/>
  <c r="H85" i="1" s="1"/>
  <c r="C85" i="1"/>
  <c r="D85" i="1" s="1"/>
  <c r="E81" i="1"/>
  <c r="G81" i="1" s="1"/>
  <c r="C81" i="1"/>
  <c r="D81" i="1" s="1"/>
  <c r="E77" i="1"/>
  <c r="G77" i="1" s="1"/>
  <c r="C77" i="1"/>
  <c r="D77" i="1" s="1"/>
  <c r="E73" i="1"/>
  <c r="G73" i="1" s="1"/>
  <c r="C73" i="1"/>
  <c r="D73" i="1" s="1"/>
  <c r="E69" i="1"/>
  <c r="G69" i="1" s="1"/>
  <c r="C69" i="1"/>
  <c r="D69" i="1" s="1"/>
  <c r="E65" i="1"/>
  <c r="G65" i="1" s="1"/>
  <c r="C65" i="1"/>
  <c r="D65" i="1" s="1"/>
  <c r="E61" i="1"/>
  <c r="F61" i="1" s="1"/>
  <c r="H61" i="1" s="1"/>
  <c r="C61" i="1"/>
  <c r="D61" i="1" s="1"/>
  <c r="E57" i="1"/>
  <c r="G57" i="1" s="1"/>
  <c r="C57" i="1"/>
  <c r="D57" i="1" s="1"/>
  <c r="E53" i="1"/>
  <c r="G53" i="1" s="1"/>
  <c r="C53" i="1"/>
  <c r="D53" i="1" s="1"/>
  <c r="E49" i="1"/>
  <c r="G49" i="1" s="1"/>
  <c r="C49" i="1"/>
  <c r="D49" i="1" s="1"/>
  <c r="E45" i="1"/>
  <c r="G45" i="1" s="1"/>
  <c r="C45" i="1"/>
  <c r="D45" i="1" s="1"/>
  <c r="E41" i="1"/>
  <c r="G41" i="1" s="1"/>
  <c r="C41" i="1"/>
  <c r="D41" i="1" s="1"/>
  <c r="E37" i="1"/>
  <c r="F37" i="1" s="1"/>
  <c r="H37" i="1" s="1"/>
  <c r="C37" i="1"/>
  <c r="D37" i="1" s="1"/>
  <c r="E33" i="1"/>
  <c r="G33" i="1" s="1"/>
  <c r="C33" i="1"/>
  <c r="D33" i="1" s="1"/>
  <c r="E29" i="1"/>
  <c r="I29" i="1" s="1"/>
  <c r="J29" i="1" s="1"/>
  <c r="C29" i="1"/>
  <c r="D29" i="1" s="1"/>
  <c r="E25" i="1"/>
  <c r="G25" i="1" s="1"/>
  <c r="C25" i="1"/>
  <c r="D25" i="1" s="1"/>
  <c r="E21" i="1"/>
  <c r="F21" i="1" s="1"/>
  <c r="H21" i="1" s="1"/>
  <c r="C21" i="1"/>
  <c r="D21" i="1" s="1"/>
  <c r="E17" i="1"/>
  <c r="G17" i="1" s="1"/>
  <c r="C17" i="1"/>
  <c r="D17" i="1" s="1"/>
  <c r="E13" i="1"/>
  <c r="G13" i="1" s="1"/>
  <c r="C13" i="1"/>
  <c r="D13" i="1" s="1"/>
  <c r="F11" i="1"/>
  <c r="H11" i="1" s="1"/>
  <c r="G91" i="1"/>
  <c r="F98" i="1"/>
  <c r="H98" i="1" s="1"/>
  <c r="F90" i="1"/>
  <c r="H90" i="1" s="1"/>
  <c r="G9" i="1"/>
  <c r="F108" i="1"/>
  <c r="H108" i="1" s="1"/>
  <c r="F104" i="1"/>
  <c r="H104" i="1" s="1"/>
  <c r="G96" i="1"/>
  <c r="F88" i="1"/>
  <c r="H88" i="1" s="1"/>
  <c r="F84" i="1"/>
  <c r="H84" i="1" s="1"/>
  <c r="G80" i="1"/>
  <c r="F72" i="1"/>
  <c r="H72" i="1" s="1"/>
  <c r="F68" i="1"/>
  <c r="H68" i="1" s="1"/>
  <c r="G64" i="1"/>
  <c r="F56" i="1"/>
  <c r="H56" i="1" s="1"/>
  <c r="F52" i="1"/>
  <c r="H52" i="1" s="1"/>
  <c r="G48" i="1"/>
  <c r="F40" i="1"/>
  <c r="H40" i="1" s="1"/>
  <c r="F36" i="1"/>
  <c r="H36" i="1" s="1"/>
  <c r="G32" i="1"/>
  <c r="F20" i="1"/>
  <c r="H20" i="1" s="1"/>
  <c r="F16" i="1"/>
  <c r="H16" i="1" s="1"/>
  <c r="G103" i="1"/>
  <c r="F75" i="1"/>
  <c r="H75" i="1" s="1"/>
  <c r="F71" i="1"/>
  <c r="H71" i="1" s="1"/>
  <c r="G67" i="1"/>
  <c r="F55" i="1"/>
  <c r="H55" i="1" s="1"/>
  <c r="F51" i="1"/>
  <c r="H51" i="1" s="1"/>
  <c r="F47" i="1"/>
  <c r="H47" i="1" s="1"/>
  <c r="F43" i="1"/>
  <c r="H43" i="1" s="1"/>
  <c r="G39" i="1"/>
  <c r="F31" i="1"/>
  <c r="H31" i="1" s="1"/>
  <c r="F27" i="1"/>
  <c r="H27" i="1" s="1"/>
  <c r="G23" i="1"/>
  <c r="F15" i="1"/>
  <c r="H15" i="1" s="1"/>
  <c r="F99" i="1"/>
  <c r="H99" i="1" s="1"/>
  <c r="G99" i="1"/>
  <c r="F94" i="1"/>
  <c r="H94" i="1" s="1"/>
  <c r="F86" i="1"/>
  <c r="H86" i="1" s="1"/>
  <c r="F78" i="1"/>
  <c r="H78" i="1" s="1"/>
  <c r="F74" i="1"/>
  <c r="H74" i="1" s="1"/>
  <c r="G70" i="1"/>
  <c r="F62" i="1"/>
  <c r="H62" i="1" s="1"/>
  <c r="F58" i="1"/>
  <c r="H58" i="1" s="1"/>
  <c r="G54" i="1"/>
  <c r="F46" i="1"/>
  <c r="H46" i="1" s="1"/>
  <c r="I42" i="1"/>
  <c r="J42" i="1" s="1"/>
  <c r="F38" i="1"/>
  <c r="H38" i="1" s="1"/>
  <c r="F34" i="1"/>
  <c r="H34" i="1" s="1"/>
  <c r="G30" i="1"/>
  <c r="G26" i="1"/>
  <c r="G22" i="1"/>
  <c r="G18" i="1"/>
  <c r="G14" i="1"/>
  <c r="F107" i="1"/>
  <c r="H107" i="1" s="1"/>
  <c r="G107" i="1"/>
  <c r="G95" i="1"/>
  <c r="F83" i="1"/>
  <c r="H83" i="1" s="1"/>
  <c r="G83" i="1"/>
  <c r="G102" i="1"/>
  <c r="F101" i="1"/>
  <c r="H101" i="1" s="1"/>
  <c r="F93" i="1"/>
  <c r="H93" i="1" s="1"/>
  <c r="G85" i="1"/>
  <c r="F73" i="1"/>
  <c r="H73" i="1" s="1"/>
  <c r="F69" i="1"/>
  <c r="H69" i="1" s="1"/>
  <c r="G61" i="1"/>
  <c r="F49" i="1"/>
  <c r="H49" i="1" s="1"/>
  <c r="F45" i="1"/>
  <c r="H45" i="1" s="1"/>
  <c r="G37" i="1"/>
  <c r="F29" i="1"/>
  <c r="H29" i="1" s="1"/>
  <c r="F25" i="1"/>
  <c r="H25" i="1" s="1"/>
  <c r="G21" i="1"/>
  <c r="F13" i="1"/>
  <c r="H13" i="1" s="1"/>
  <c r="I99" i="1"/>
  <c r="J99" i="1" s="1"/>
  <c r="I98" i="1"/>
  <c r="J98" i="1" s="1"/>
  <c r="I90" i="1"/>
  <c r="J90" i="1" s="1"/>
  <c r="I51" i="1"/>
  <c r="J51" i="1" s="1"/>
  <c r="I107" i="1"/>
  <c r="J107" i="1" s="1"/>
  <c r="I50" i="1"/>
  <c r="J50" i="1" s="1"/>
  <c r="I82" i="1"/>
  <c r="J82" i="1" s="1"/>
  <c r="I75" i="1"/>
  <c r="J75" i="1" s="1"/>
  <c r="I43" i="1"/>
  <c r="J43" i="1" s="1"/>
  <c r="I27" i="1"/>
  <c r="J27" i="1" s="1"/>
  <c r="I67" i="1"/>
  <c r="J67" i="1" s="1"/>
  <c r="I66" i="1"/>
  <c r="J66" i="1" s="1"/>
  <c r="F106" i="1"/>
  <c r="H106" i="1" s="1"/>
  <c r="I106" i="1"/>
  <c r="J106" i="1" s="1"/>
  <c r="I17" i="1"/>
  <c r="J17" i="1" s="1"/>
  <c r="I96" i="1"/>
  <c r="J96" i="1" s="1"/>
  <c r="I73" i="1"/>
  <c r="J73" i="1" s="1"/>
  <c r="I16" i="1"/>
  <c r="J16" i="1" s="1"/>
  <c r="F42" i="1"/>
  <c r="H42" i="1" s="1"/>
  <c r="I91" i="1"/>
  <c r="J91" i="1" s="1"/>
  <c r="I72" i="1"/>
  <c r="J72" i="1" s="1"/>
  <c r="I48" i="1"/>
  <c r="J48" i="1" s="1"/>
  <c r="I88" i="1"/>
  <c r="J88" i="1" s="1"/>
  <c r="I64" i="1"/>
  <c r="J64" i="1" s="1"/>
  <c r="I40" i="1"/>
  <c r="J40" i="1" s="1"/>
  <c r="I33" i="1"/>
  <c r="J33" i="1" s="1"/>
  <c r="I104" i="1"/>
  <c r="J104" i="1" s="1"/>
  <c r="I80" i="1"/>
  <c r="J80" i="1" s="1"/>
  <c r="I58" i="1"/>
  <c r="J58" i="1" s="1"/>
  <c r="I19" i="1"/>
  <c r="J19" i="1" s="1"/>
  <c r="I105" i="1"/>
  <c r="J105" i="1" s="1"/>
  <c r="I89" i="1"/>
  <c r="J89" i="1" s="1"/>
  <c r="F57" i="1"/>
  <c r="H57" i="1" s="1"/>
  <c r="I41" i="1"/>
  <c r="J41" i="1" s="1"/>
  <c r="I79" i="1"/>
  <c r="J79" i="1" s="1"/>
  <c r="I97" i="1"/>
  <c r="J97" i="1" s="1"/>
  <c r="I81" i="1"/>
  <c r="J81" i="1" s="1"/>
  <c r="F100" i="1"/>
  <c r="H100" i="1" s="1"/>
  <c r="I100" i="1"/>
  <c r="J100" i="1" s="1"/>
  <c r="F28" i="1"/>
  <c r="H28" i="1" s="1"/>
  <c r="F59" i="1"/>
  <c r="H59" i="1" s="1"/>
  <c r="I59" i="1"/>
  <c r="J59" i="1" s="1"/>
  <c r="I83" i="1"/>
  <c r="J83" i="1" s="1"/>
  <c r="I49" i="1"/>
  <c r="J49" i="1" s="1"/>
  <c r="I103" i="1"/>
  <c r="J103" i="1" s="1"/>
  <c r="I87" i="1"/>
  <c r="J87" i="1" s="1"/>
  <c r="I63" i="1"/>
  <c r="J63" i="1" s="1"/>
  <c r="I47" i="1"/>
  <c r="J47" i="1" s="1"/>
  <c r="I39" i="1"/>
  <c r="J39" i="1" s="1"/>
  <c r="I31" i="1"/>
  <c r="J31" i="1" s="1"/>
  <c r="I23" i="1"/>
  <c r="J23" i="1" s="1"/>
  <c r="I15" i="1"/>
  <c r="J15" i="1" s="1"/>
  <c r="I94" i="1"/>
  <c r="J94" i="1" s="1"/>
  <c r="I78" i="1"/>
  <c r="J78" i="1" s="1"/>
  <c r="I70" i="1"/>
  <c r="J70" i="1" s="1"/>
  <c r="I54" i="1"/>
  <c r="J54" i="1" s="1"/>
  <c r="I38" i="1"/>
  <c r="J38" i="1" s="1"/>
  <c r="I22" i="1"/>
  <c r="J22" i="1" s="1"/>
  <c r="I101" i="1"/>
  <c r="J101" i="1" s="1"/>
  <c r="I85" i="1"/>
  <c r="J85" i="1" s="1"/>
  <c r="I69" i="1"/>
  <c r="J69" i="1" s="1"/>
  <c r="I53" i="1"/>
  <c r="J53" i="1" s="1"/>
  <c r="I37" i="1"/>
  <c r="J37" i="1" s="1"/>
  <c r="I21" i="1"/>
  <c r="J21" i="1" s="1"/>
  <c r="I102" i="1"/>
  <c r="J102" i="1" s="1"/>
  <c r="I86" i="1"/>
  <c r="J86" i="1" s="1"/>
  <c r="I62" i="1"/>
  <c r="J62" i="1" s="1"/>
  <c r="I30" i="1"/>
  <c r="J30" i="1" s="1"/>
  <c r="I14" i="1"/>
  <c r="J14" i="1" s="1"/>
  <c r="I108" i="1"/>
  <c r="J108" i="1" s="1"/>
  <c r="I92" i="1"/>
  <c r="J92" i="1" s="1"/>
  <c r="I84" i="1"/>
  <c r="J84" i="1" s="1"/>
  <c r="I76" i="1"/>
  <c r="J76" i="1" s="1"/>
  <c r="I68" i="1"/>
  <c r="J68" i="1" s="1"/>
  <c r="I60" i="1"/>
  <c r="J60" i="1" s="1"/>
  <c r="I52" i="1"/>
  <c r="J52" i="1" s="1"/>
  <c r="I44" i="1"/>
  <c r="J44" i="1" s="1"/>
  <c r="I36" i="1"/>
  <c r="J36" i="1" s="1"/>
  <c r="I20" i="1"/>
  <c r="J20" i="1" s="1"/>
  <c r="I12" i="1"/>
  <c r="J12" i="1" s="1"/>
  <c r="I46" i="1" l="1"/>
  <c r="J46" i="1" s="1"/>
  <c r="I13" i="1"/>
  <c r="J13" i="1" s="1"/>
  <c r="I45" i="1"/>
  <c r="J45" i="1" s="1"/>
  <c r="I77" i="1"/>
  <c r="J77" i="1" s="1"/>
  <c r="I55" i="1"/>
  <c r="J55" i="1" s="1"/>
  <c r="I95" i="1"/>
  <c r="J95" i="1" s="1"/>
  <c r="I28" i="1"/>
  <c r="J28" i="1" s="1"/>
  <c r="F81" i="1"/>
  <c r="H81" i="1" s="1"/>
  <c r="F79" i="1"/>
  <c r="H79" i="1" s="1"/>
  <c r="I65" i="1"/>
  <c r="J65" i="1" s="1"/>
  <c r="F105" i="1"/>
  <c r="H105" i="1" s="1"/>
  <c r="I24" i="1"/>
  <c r="J24" i="1" s="1"/>
  <c r="I11" i="1"/>
  <c r="J11" i="1" s="1"/>
  <c r="I18" i="1"/>
  <c r="J18" i="1" s="1"/>
  <c r="I74" i="1"/>
  <c r="J74" i="1" s="1"/>
  <c r="F82" i="1"/>
  <c r="H82" i="1" s="1"/>
  <c r="I56" i="1"/>
  <c r="J56" i="1" s="1"/>
  <c r="F17" i="1"/>
  <c r="H17" i="1" s="1"/>
  <c r="G29" i="1"/>
  <c r="F53" i="1"/>
  <c r="H53" i="1" s="1"/>
  <c r="F26" i="1"/>
  <c r="H26" i="1" s="1"/>
  <c r="F66" i="1"/>
  <c r="H66" i="1" s="1"/>
  <c r="F35" i="1"/>
  <c r="H35" i="1" s="1"/>
  <c r="F87" i="1"/>
  <c r="H87" i="1" s="1"/>
  <c r="F32" i="1"/>
  <c r="H32" i="1" s="1"/>
  <c r="F44" i="1"/>
  <c r="H44" i="1" s="1"/>
  <c r="F76" i="1"/>
  <c r="H76" i="1" s="1"/>
  <c r="F12" i="1"/>
  <c r="H12" i="1" s="1"/>
  <c r="F8" i="1"/>
  <c r="H8" i="1" s="1"/>
  <c r="I61" i="1"/>
  <c r="J61" i="1" s="1"/>
  <c r="I93" i="1"/>
  <c r="J93" i="1" s="1"/>
  <c r="I10" i="1"/>
  <c r="J10" i="1" s="1"/>
  <c r="I71" i="1"/>
  <c r="J71" i="1" s="1"/>
  <c r="I9" i="1"/>
  <c r="J9" i="1" s="1"/>
  <c r="F97" i="1"/>
  <c r="H97" i="1" s="1"/>
  <c r="I57" i="1"/>
  <c r="J57" i="1" s="1"/>
  <c r="F89" i="1"/>
  <c r="H89" i="1" s="1"/>
  <c r="I35" i="1"/>
  <c r="J35" i="1" s="1"/>
  <c r="I25" i="1"/>
  <c r="J25" i="1" s="1"/>
  <c r="I34" i="1"/>
  <c r="J34" i="1" s="1"/>
  <c r="F33" i="1"/>
  <c r="H33" i="1" s="1"/>
  <c r="F77" i="1"/>
  <c r="H77" i="1" s="1"/>
  <c r="F50" i="1"/>
  <c r="H50" i="1" s="1"/>
  <c r="F19" i="1"/>
  <c r="H19" i="1" s="1"/>
  <c r="F63" i="1"/>
  <c r="H63" i="1" s="1"/>
  <c r="F24" i="1"/>
  <c r="H24" i="1" s="1"/>
  <c r="F60" i="1"/>
  <c r="H60" i="1" s="1"/>
  <c r="F92" i="1"/>
  <c r="H92" i="1" s="1"/>
  <c r="F10" i="1"/>
  <c r="H10" i="1" s="1"/>
  <c r="F41" i="1"/>
  <c r="H41" i="1" s="1"/>
  <c r="F65" i="1"/>
  <c r="H65" i="1" s="1"/>
  <c r="G8" i="1"/>
</calcChain>
</file>

<file path=xl/sharedStrings.xml><?xml version="1.0" encoding="utf-8"?>
<sst xmlns="http://schemas.openxmlformats.org/spreadsheetml/2006/main" count="16" uniqueCount="15">
  <si>
    <t>% of Meter Range</t>
  </si>
  <si>
    <t>Meter Full Scale</t>
  </si>
  <si>
    <t>SLPM</t>
  </si>
  <si>
    <t>Accuracy Reading</t>
  </si>
  <si>
    <t>Accuracy Full Scale</t>
  </si>
  <si>
    <t>SLPM Error(+)</t>
  </si>
  <si>
    <t>SLPM Error(-)</t>
  </si>
  <si>
    <t>% Error (+ Full Scale)</t>
  </si>
  <si>
    <t>% Error (-Full Scale)</t>
  </si>
  <si>
    <t>% Error (+ Reading)</t>
  </si>
  <si>
    <t>% Error (-Reading)</t>
  </si>
  <si>
    <t>Total Error of Flow Rate. (Integration should be same</t>
  </si>
  <si>
    <t>SCFH</t>
  </si>
  <si>
    <t>Rate (BTU/hr)</t>
  </si>
  <si>
    <t>Heating Value (BTU/FT3)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</si>
</sst>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2" fontId="0" fillId="0" borderId="1" xfId="0" applyNumberFormat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2" fontId="0" fillId="4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0" fontId="0" fillId="0" borderId="0" xfId="0" applyBorder="1"/>
    <xf numFmtId="164" fontId="0" fillId="0" borderId="1" xfId="0" applyNumberFormat="1" applyBorder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164" fontId="1" fillId="4" borderId="1" xfId="0" applyNumberFormat="1" applyFont="1" applyFill="1" applyBorder="1"/>
    <xf numFmtId="0" fontId="0" fillId="5" borderId="1" xfId="0" applyFill="1" applyBorder="1"/>
    <xf numFmtId="164" fontId="0" fillId="5" borderId="1" xfId="0" applyNumberFormat="1" applyFill="1" applyBorder="1"/>
    <xf numFmtId="2" fontId="0" fillId="5" borderId="1" xfId="0" applyNumberFormat="1" applyFill="1" applyBorder="1"/>
    <xf numFmtId="0" fontId="0" fillId="5" borderId="1" xfId="0" applyFill="1" applyBorder="1" applyAlignment="1">
      <alignment horizontal="center"/>
    </xf>
    <xf numFmtId="10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Mass Flow Meter Error (+)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8B-4150-8B1A-90C51E10C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Sheet1!$I$8:$I$108</c:f>
              <c:numCache>
                <c:formatCode>General</c:formatCode>
                <c:ptCount val="101"/>
                <c:pt idx="0">
                  <c:v>0.2</c:v>
                </c:pt>
                <c:pt idx="1">
                  <c:v>0.20400000000000001</c:v>
                </c:pt>
                <c:pt idx="2">
                  <c:v>0.20799999999999999</c:v>
                </c:pt>
                <c:pt idx="3">
                  <c:v>0.21199999999999999</c:v>
                </c:pt>
                <c:pt idx="4">
                  <c:v>0.216</c:v>
                </c:pt>
                <c:pt idx="5">
                  <c:v>0.21999999999999997</c:v>
                </c:pt>
                <c:pt idx="6">
                  <c:v>0.22399999999999998</c:v>
                </c:pt>
                <c:pt idx="7">
                  <c:v>0.22799999999999998</c:v>
                </c:pt>
                <c:pt idx="8">
                  <c:v>0.23200000000000001</c:v>
                </c:pt>
                <c:pt idx="9">
                  <c:v>0.23600000000000002</c:v>
                </c:pt>
                <c:pt idx="10">
                  <c:v>0.24000000000000002</c:v>
                </c:pt>
                <c:pt idx="11">
                  <c:v>0.24400000000000002</c:v>
                </c:pt>
                <c:pt idx="12">
                  <c:v>0.248</c:v>
                </c:pt>
                <c:pt idx="13">
                  <c:v>0.252</c:v>
                </c:pt>
                <c:pt idx="14">
                  <c:v>0.25600000000000001</c:v>
                </c:pt>
                <c:pt idx="15">
                  <c:v>0.26</c:v>
                </c:pt>
                <c:pt idx="16">
                  <c:v>0.26400000000000001</c:v>
                </c:pt>
                <c:pt idx="17">
                  <c:v>0.26800000000000002</c:v>
                </c:pt>
                <c:pt idx="18">
                  <c:v>0.27200000000000002</c:v>
                </c:pt>
                <c:pt idx="19">
                  <c:v>0.27599999999999997</c:v>
                </c:pt>
                <c:pt idx="20">
                  <c:v>0.27999999999999997</c:v>
                </c:pt>
                <c:pt idx="21">
                  <c:v>0.28400000000000003</c:v>
                </c:pt>
                <c:pt idx="22">
                  <c:v>0.28799999999999998</c:v>
                </c:pt>
                <c:pt idx="23">
                  <c:v>0.29199999999999998</c:v>
                </c:pt>
                <c:pt idx="24">
                  <c:v>0.29599999999999999</c:v>
                </c:pt>
                <c:pt idx="25">
                  <c:v>0.3</c:v>
                </c:pt>
                <c:pt idx="26">
                  <c:v>0.30399999999999999</c:v>
                </c:pt>
                <c:pt idx="27">
                  <c:v>0.30800000000000005</c:v>
                </c:pt>
                <c:pt idx="28">
                  <c:v>0.312</c:v>
                </c:pt>
                <c:pt idx="29">
                  <c:v>0.31600000000000006</c:v>
                </c:pt>
                <c:pt idx="30">
                  <c:v>0.32</c:v>
                </c:pt>
                <c:pt idx="31">
                  <c:v>0.32399999999999995</c:v>
                </c:pt>
                <c:pt idx="32">
                  <c:v>0.32800000000000001</c:v>
                </c:pt>
                <c:pt idx="33">
                  <c:v>0.33200000000000002</c:v>
                </c:pt>
                <c:pt idx="34">
                  <c:v>0.33600000000000008</c:v>
                </c:pt>
                <c:pt idx="35">
                  <c:v>0.34</c:v>
                </c:pt>
                <c:pt idx="36">
                  <c:v>0.34399999999999997</c:v>
                </c:pt>
                <c:pt idx="37">
                  <c:v>0.34800000000000003</c:v>
                </c:pt>
                <c:pt idx="38">
                  <c:v>0.35200000000000004</c:v>
                </c:pt>
                <c:pt idx="39">
                  <c:v>0.35599999999999998</c:v>
                </c:pt>
                <c:pt idx="40">
                  <c:v>0.36000000000000004</c:v>
                </c:pt>
                <c:pt idx="41">
                  <c:v>0.36399999999999999</c:v>
                </c:pt>
                <c:pt idx="42">
                  <c:v>0.36799999999999999</c:v>
                </c:pt>
                <c:pt idx="43">
                  <c:v>0.372</c:v>
                </c:pt>
                <c:pt idx="44">
                  <c:v>0.37600000000000006</c:v>
                </c:pt>
                <c:pt idx="45">
                  <c:v>0.38000000000000006</c:v>
                </c:pt>
                <c:pt idx="46">
                  <c:v>0.38400000000000006</c:v>
                </c:pt>
                <c:pt idx="47">
                  <c:v>0.38800000000000001</c:v>
                </c:pt>
                <c:pt idx="48">
                  <c:v>0.39200000000000002</c:v>
                </c:pt>
                <c:pt idx="49">
                  <c:v>0.39600000000000002</c:v>
                </c:pt>
                <c:pt idx="50">
                  <c:v>0.4</c:v>
                </c:pt>
                <c:pt idx="51">
                  <c:v>0.40400000000000003</c:v>
                </c:pt>
                <c:pt idx="52">
                  <c:v>0.40800000000000003</c:v>
                </c:pt>
                <c:pt idx="53">
                  <c:v>0.41200000000000003</c:v>
                </c:pt>
                <c:pt idx="54">
                  <c:v>0.41599999999999998</c:v>
                </c:pt>
                <c:pt idx="55">
                  <c:v>0.42000000000000004</c:v>
                </c:pt>
                <c:pt idx="56">
                  <c:v>0.42399999999999988</c:v>
                </c:pt>
                <c:pt idx="57">
                  <c:v>0.4280000000000001</c:v>
                </c:pt>
                <c:pt idx="58">
                  <c:v>0.432</c:v>
                </c:pt>
                <c:pt idx="59">
                  <c:v>0.436</c:v>
                </c:pt>
                <c:pt idx="60">
                  <c:v>0.44</c:v>
                </c:pt>
                <c:pt idx="61">
                  <c:v>0.44399999999999995</c:v>
                </c:pt>
                <c:pt idx="62">
                  <c:v>0.44800000000000006</c:v>
                </c:pt>
                <c:pt idx="63">
                  <c:v>0.45200000000000007</c:v>
                </c:pt>
                <c:pt idx="64">
                  <c:v>0.45599999999999996</c:v>
                </c:pt>
                <c:pt idx="65">
                  <c:v>0.45999999999999996</c:v>
                </c:pt>
                <c:pt idx="66">
                  <c:v>0.46400000000000002</c:v>
                </c:pt>
                <c:pt idx="67">
                  <c:v>0.46800000000000003</c:v>
                </c:pt>
                <c:pt idx="68">
                  <c:v>0.47200000000000003</c:v>
                </c:pt>
                <c:pt idx="69">
                  <c:v>0.47600000000000003</c:v>
                </c:pt>
                <c:pt idx="70">
                  <c:v>0.48000000000000004</c:v>
                </c:pt>
                <c:pt idx="71">
                  <c:v>0.48399999999999999</c:v>
                </c:pt>
                <c:pt idx="72">
                  <c:v>0.48800000000000004</c:v>
                </c:pt>
                <c:pt idx="73">
                  <c:v>0.49199999999999999</c:v>
                </c:pt>
                <c:pt idx="74">
                  <c:v>0.49600000000000011</c:v>
                </c:pt>
                <c:pt idx="75">
                  <c:v>0.5</c:v>
                </c:pt>
                <c:pt idx="76">
                  <c:v>0.504</c:v>
                </c:pt>
                <c:pt idx="77">
                  <c:v>0.5079999999999999</c:v>
                </c:pt>
                <c:pt idx="78">
                  <c:v>0.51200000000000001</c:v>
                </c:pt>
                <c:pt idx="79">
                  <c:v>0.51600000000000001</c:v>
                </c:pt>
                <c:pt idx="80">
                  <c:v>0.52</c:v>
                </c:pt>
                <c:pt idx="81">
                  <c:v>0.52400000000000002</c:v>
                </c:pt>
                <c:pt idx="82">
                  <c:v>0.52800000000000002</c:v>
                </c:pt>
                <c:pt idx="83">
                  <c:v>0.53200000000000003</c:v>
                </c:pt>
                <c:pt idx="84">
                  <c:v>0.53600000000000014</c:v>
                </c:pt>
                <c:pt idx="85">
                  <c:v>0.54</c:v>
                </c:pt>
                <c:pt idx="86">
                  <c:v>0.54400000000000004</c:v>
                </c:pt>
                <c:pt idx="87">
                  <c:v>0.54800000000000004</c:v>
                </c:pt>
                <c:pt idx="88">
                  <c:v>0.55199999999999994</c:v>
                </c:pt>
                <c:pt idx="89">
                  <c:v>0.55600000000000005</c:v>
                </c:pt>
                <c:pt idx="90">
                  <c:v>0.56000000000000005</c:v>
                </c:pt>
                <c:pt idx="91">
                  <c:v>0.56400000000000006</c:v>
                </c:pt>
                <c:pt idx="92">
                  <c:v>0.56800000000000006</c:v>
                </c:pt>
                <c:pt idx="93">
                  <c:v>0.57200000000000006</c:v>
                </c:pt>
                <c:pt idx="94">
                  <c:v>0.57599999999999996</c:v>
                </c:pt>
                <c:pt idx="95">
                  <c:v>0.58000000000000018</c:v>
                </c:pt>
                <c:pt idx="96">
                  <c:v>0.58399999999999996</c:v>
                </c:pt>
                <c:pt idx="97">
                  <c:v>0.58800000000000008</c:v>
                </c:pt>
                <c:pt idx="98">
                  <c:v>0.59199999999999997</c:v>
                </c:pt>
                <c:pt idx="99">
                  <c:v>0.59599999999999997</c:v>
                </c:pt>
                <c:pt idx="10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B-4150-8B1A-90C51E10C874}"/>
            </c:ext>
          </c:extLst>
        </c:ser>
        <c:ser>
          <c:idx val="0"/>
          <c:order val="1"/>
          <c:tx>
            <c:v>Mass Flow Meter Error (-)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8B-4150-8B1A-90C51E10C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Sheet1!$J$8:$J$108</c:f>
              <c:numCache>
                <c:formatCode>General</c:formatCode>
                <c:ptCount val="101"/>
                <c:pt idx="0">
                  <c:v>-0.2</c:v>
                </c:pt>
                <c:pt idx="1">
                  <c:v>-0.20400000000000001</c:v>
                </c:pt>
                <c:pt idx="2">
                  <c:v>-0.20799999999999999</c:v>
                </c:pt>
                <c:pt idx="3">
                  <c:v>-0.21199999999999999</c:v>
                </c:pt>
                <c:pt idx="4">
                  <c:v>-0.216</c:v>
                </c:pt>
                <c:pt idx="5">
                  <c:v>-0.21999999999999997</c:v>
                </c:pt>
                <c:pt idx="6">
                  <c:v>-0.22399999999999998</c:v>
                </c:pt>
                <c:pt idx="7">
                  <c:v>-0.22799999999999998</c:v>
                </c:pt>
                <c:pt idx="8">
                  <c:v>-0.23200000000000001</c:v>
                </c:pt>
                <c:pt idx="9">
                  <c:v>-0.23600000000000002</c:v>
                </c:pt>
                <c:pt idx="10">
                  <c:v>-0.24000000000000002</c:v>
                </c:pt>
                <c:pt idx="11">
                  <c:v>-0.24400000000000002</c:v>
                </c:pt>
                <c:pt idx="12">
                  <c:v>-0.248</c:v>
                </c:pt>
                <c:pt idx="13">
                  <c:v>-0.252</c:v>
                </c:pt>
                <c:pt idx="14">
                  <c:v>-0.25600000000000001</c:v>
                </c:pt>
                <c:pt idx="15">
                  <c:v>-0.26</c:v>
                </c:pt>
                <c:pt idx="16">
                  <c:v>-0.26400000000000001</c:v>
                </c:pt>
                <c:pt idx="17">
                  <c:v>-0.26800000000000002</c:v>
                </c:pt>
                <c:pt idx="18">
                  <c:v>-0.27200000000000002</c:v>
                </c:pt>
                <c:pt idx="19">
                  <c:v>-0.27599999999999997</c:v>
                </c:pt>
                <c:pt idx="20">
                  <c:v>-0.27999999999999997</c:v>
                </c:pt>
                <c:pt idx="21">
                  <c:v>-0.28400000000000003</c:v>
                </c:pt>
                <c:pt idx="22">
                  <c:v>-0.28799999999999998</c:v>
                </c:pt>
                <c:pt idx="23">
                  <c:v>-0.29199999999999998</c:v>
                </c:pt>
                <c:pt idx="24">
                  <c:v>-0.29599999999999999</c:v>
                </c:pt>
                <c:pt idx="25">
                  <c:v>-0.3</c:v>
                </c:pt>
                <c:pt idx="26">
                  <c:v>-0.30399999999999999</c:v>
                </c:pt>
                <c:pt idx="27">
                  <c:v>-0.30800000000000005</c:v>
                </c:pt>
                <c:pt idx="28">
                  <c:v>-0.312</c:v>
                </c:pt>
                <c:pt idx="29">
                  <c:v>-0.31600000000000006</c:v>
                </c:pt>
                <c:pt idx="30">
                  <c:v>-0.32</c:v>
                </c:pt>
                <c:pt idx="31">
                  <c:v>-0.32399999999999995</c:v>
                </c:pt>
                <c:pt idx="32">
                  <c:v>-0.32800000000000001</c:v>
                </c:pt>
                <c:pt idx="33">
                  <c:v>-0.33200000000000002</c:v>
                </c:pt>
                <c:pt idx="34">
                  <c:v>-0.33600000000000008</c:v>
                </c:pt>
                <c:pt idx="35">
                  <c:v>-0.34</c:v>
                </c:pt>
                <c:pt idx="36">
                  <c:v>-0.34399999999999997</c:v>
                </c:pt>
                <c:pt idx="37">
                  <c:v>-0.34800000000000003</c:v>
                </c:pt>
                <c:pt idx="38">
                  <c:v>-0.35200000000000004</c:v>
                </c:pt>
                <c:pt idx="39">
                  <c:v>-0.35599999999999998</c:v>
                </c:pt>
                <c:pt idx="40">
                  <c:v>-0.36000000000000004</c:v>
                </c:pt>
                <c:pt idx="41">
                  <c:v>-0.36399999999999999</c:v>
                </c:pt>
                <c:pt idx="42">
                  <c:v>-0.36799999999999999</c:v>
                </c:pt>
                <c:pt idx="43">
                  <c:v>-0.372</c:v>
                </c:pt>
                <c:pt idx="44">
                  <c:v>-0.37600000000000006</c:v>
                </c:pt>
                <c:pt idx="45">
                  <c:v>-0.38000000000000006</c:v>
                </c:pt>
                <c:pt idx="46">
                  <c:v>-0.38400000000000006</c:v>
                </c:pt>
                <c:pt idx="47">
                  <c:v>-0.38800000000000001</c:v>
                </c:pt>
                <c:pt idx="48">
                  <c:v>-0.39200000000000002</c:v>
                </c:pt>
                <c:pt idx="49">
                  <c:v>-0.39600000000000002</c:v>
                </c:pt>
                <c:pt idx="50">
                  <c:v>-0.4</c:v>
                </c:pt>
                <c:pt idx="51">
                  <c:v>-0.40400000000000003</c:v>
                </c:pt>
                <c:pt idx="52">
                  <c:v>-0.40800000000000003</c:v>
                </c:pt>
                <c:pt idx="53">
                  <c:v>-0.41200000000000003</c:v>
                </c:pt>
                <c:pt idx="54">
                  <c:v>-0.41599999999999998</c:v>
                </c:pt>
                <c:pt idx="55">
                  <c:v>-0.42000000000000004</c:v>
                </c:pt>
                <c:pt idx="56">
                  <c:v>-0.42399999999999988</c:v>
                </c:pt>
                <c:pt idx="57">
                  <c:v>-0.4280000000000001</c:v>
                </c:pt>
                <c:pt idx="58">
                  <c:v>-0.432</c:v>
                </c:pt>
                <c:pt idx="59">
                  <c:v>-0.436</c:v>
                </c:pt>
                <c:pt idx="60">
                  <c:v>-0.44</c:v>
                </c:pt>
                <c:pt idx="61">
                  <c:v>-0.44399999999999995</c:v>
                </c:pt>
                <c:pt idx="62">
                  <c:v>-0.44800000000000006</c:v>
                </c:pt>
                <c:pt idx="63">
                  <c:v>-0.45200000000000007</c:v>
                </c:pt>
                <c:pt idx="64">
                  <c:v>-0.45599999999999996</c:v>
                </c:pt>
                <c:pt idx="65">
                  <c:v>-0.45999999999999996</c:v>
                </c:pt>
                <c:pt idx="66">
                  <c:v>-0.46400000000000002</c:v>
                </c:pt>
                <c:pt idx="67">
                  <c:v>-0.46800000000000003</c:v>
                </c:pt>
                <c:pt idx="68">
                  <c:v>-0.47200000000000003</c:v>
                </c:pt>
                <c:pt idx="69">
                  <c:v>-0.47600000000000003</c:v>
                </c:pt>
                <c:pt idx="70">
                  <c:v>-0.48000000000000004</c:v>
                </c:pt>
                <c:pt idx="71">
                  <c:v>-0.48399999999999999</c:v>
                </c:pt>
                <c:pt idx="72">
                  <c:v>-0.48800000000000004</c:v>
                </c:pt>
                <c:pt idx="73">
                  <c:v>-0.49199999999999999</c:v>
                </c:pt>
                <c:pt idx="74">
                  <c:v>-0.49600000000000011</c:v>
                </c:pt>
                <c:pt idx="75">
                  <c:v>-0.5</c:v>
                </c:pt>
                <c:pt idx="76">
                  <c:v>-0.504</c:v>
                </c:pt>
                <c:pt idx="77">
                  <c:v>-0.5079999999999999</c:v>
                </c:pt>
                <c:pt idx="78">
                  <c:v>-0.51200000000000001</c:v>
                </c:pt>
                <c:pt idx="79">
                  <c:v>-0.51600000000000001</c:v>
                </c:pt>
                <c:pt idx="80">
                  <c:v>-0.52</c:v>
                </c:pt>
                <c:pt idx="81">
                  <c:v>-0.52400000000000002</c:v>
                </c:pt>
                <c:pt idx="82">
                  <c:v>-0.52800000000000002</c:v>
                </c:pt>
                <c:pt idx="83">
                  <c:v>-0.53200000000000003</c:v>
                </c:pt>
                <c:pt idx="84">
                  <c:v>-0.53600000000000014</c:v>
                </c:pt>
                <c:pt idx="85">
                  <c:v>-0.54</c:v>
                </c:pt>
                <c:pt idx="86">
                  <c:v>-0.54400000000000004</c:v>
                </c:pt>
                <c:pt idx="87">
                  <c:v>-0.54800000000000004</c:v>
                </c:pt>
                <c:pt idx="88">
                  <c:v>-0.55199999999999994</c:v>
                </c:pt>
                <c:pt idx="89">
                  <c:v>-0.55600000000000005</c:v>
                </c:pt>
                <c:pt idx="90">
                  <c:v>-0.56000000000000005</c:v>
                </c:pt>
                <c:pt idx="91">
                  <c:v>-0.56400000000000006</c:v>
                </c:pt>
                <c:pt idx="92">
                  <c:v>-0.56800000000000006</c:v>
                </c:pt>
                <c:pt idx="93">
                  <c:v>-0.57200000000000006</c:v>
                </c:pt>
                <c:pt idx="94">
                  <c:v>-0.57599999999999996</c:v>
                </c:pt>
                <c:pt idx="95">
                  <c:v>-0.58000000000000018</c:v>
                </c:pt>
                <c:pt idx="96">
                  <c:v>-0.58399999999999996</c:v>
                </c:pt>
                <c:pt idx="97">
                  <c:v>-0.58800000000000008</c:v>
                </c:pt>
                <c:pt idx="98">
                  <c:v>-0.59199999999999997</c:v>
                </c:pt>
                <c:pt idx="99">
                  <c:v>-0.59599999999999997</c:v>
                </c:pt>
                <c:pt idx="100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8B-4150-8B1A-90C51E10C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0016"/>
        <c:axId val="133592192"/>
      </c:scatterChart>
      <c:valAx>
        <c:axId val="133590016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2192"/>
        <c:crosses val="autoZero"/>
        <c:crossBetween val="midCat"/>
      </c:valAx>
      <c:valAx>
        <c:axId val="133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(SLPM)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82-4645-9F0E-1DE6C92883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Sheet1!$E$8:$E$108</c:f>
              <c:numCache>
                <c:formatCode>General</c:formatCode>
                <c:ptCount val="101"/>
                <c:pt idx="0">
                  <c:v>0.04</c:v>
                </c:pt>
                <c:pt idx="1">
                  <c:v>4.0800000000000003E-2</c:v>
                </c:pt>
                <c:pt idx="2">
                  <c:v>4.1599999999999998E-2</c:v>
                </c:pt>
                <c:pt idx="3">
                  <c:v>4.24E-2</c:v>
                </c:pt>
                <c:pt idx="4">
                  <c:v>4.3200000000000002E-2</c:v>
                </c:pt>
                <c:pt idx="5">
                  <c:v>4.3999999999999997E-2</c:v>
                </c:pt>
                <c:pt idx="6">
                  <c:v>4.48E-2</c:v>
                </c:pt>
                <c:pt idx="7">
                  <c:v>4.5600000000000002E-2</c:v>
                </c:pt>
                <c:pt idx="8">
                  <c:v>4.6400000000000004E-2</c:v>
                </c:pt>
                <c:pt idx="9">
                  <c:v>4.7199999999999999E-2</c:v>
                </c:pt>
                <c:pt idx="10">
                  <c:v>4.8000000000000001E-2</c:v>
                </c:pt>
                <c:pt idx="11">
                  <c:v>4.8800000000000003E-2</c:v>
                </c:pt>
                <c:pt idx="12">
                  <c:v>4.9599999999999998E-2</c:v>
                </c:pt>
                <c:pt idx="13">
                  <c:v>5.04E-2</c:v>
                </c:pt>
                <c:pt idx="14">
                  <c:v>5.1199999999999996E-2</c:v>
                </c:pt>
                <c:pt idx="15">
                  <c:v>5.2000000000000005E-2</c:v>
                </c:pt>
                <c:pt idx="16">
                  <c:v>5.28E-2</c:v>
                </c:pt>
                <c:pt idx="17">
                  <c:v>5.3600000000000002E-2</c:v>
                </c:pt>
                <c:pt idx="18">
                  <c:v>5.4400000000000004E-2</c:v>
                </c:pt>
                <c:pt idx="19">
                  <c:v>5.5199999999999999E-2</c:v>
                </c:pt>
                <c:pt idx="20">
                  <c:v>5.6000000000000001E-2</c:v>
                </c:pt>
                <c:pt idx="21">
                  <c:v>5.6800000000000003E-2</c:v>
                </c:pt>
                <c:pt idx="22">
                  <c:v>5.7599999999999998E-2</c:v>
                </c:pt>
                <c:pt idx="23">
                  <c:v>5.8400000000000001E-2</c:v>
                </c:pt>
                <c:pt idx="24">
                  <c:v>5.9200000000000003E-2</c:v>
                </c:pt>
                <c:pt idx="25">
                  <c:v>0.06</c:v>
                </c:pt>
                <c:pt idx="26">
                  <c:v>6.08E-2</c:v>
                </c:pt>
                <c:pt idx="27">
                  <c:v>6.1600000000000002E-2</c:v>
                </c:pt>
                <c:pt idx="28">
                  <c:v>6.2399999999999997E-2</c:v>
                </c:pt>
                <c:pt idx="29">
                  <c:v>6.3200000000000006E-2</c:v>
                </c:pt>
                <c:pt idx="30">
                  <c:v>6.4000000000000001E-2</c:v>
                </c:pt>
                <c:pt idx="31">
                  <c:v>6.4799999999999996E-2</c:v>
                </c:pt>
                <c:pt idx="32">
                  <c:v>6.5600000000000006E-2</c:v>
                </c:pt>
                <c:pt idx="33">
                  <c:v>6.6400000000000001E-2</c:v>
                </c:pt>
                <c:pt idx="34">
                  <c:v>6.720000000000001E-2</c:v>
                </c:pt>
                <c:pt idx="35">
                  <c:v>6.8000000000000005E-2</c:v>
                </c:pt>
                <c:pt idx="36">
                  <c:v>6.88E-2</c:v>
                </c:pt>
                <c:pt idx="37">
                  <c:v>6.9600000000000009E-2</c:v>
                </c:pt>
                <c:pt idx="38">
                  <c:v>7.0400000000000004E-2</c:v>
                </c:pt>
                <c:pt idx="39">
                  <c:v>7.1199999999999999E-2</c:v>
                </c:pt>
                <c:pt idx="40">
                  <c:v>7.2000000000000008E-2</c:v>
                </c:pt>
                <c:pt idx="41">
                  <c:v>7.2800000000000004E-2</c:v>
                </c:pt>
                <c:pt idx="42">
                  <c:v>7.3599999999999999E-2</c:v>
                </c:pt>
                <c:pt idx="43">
                  <c:v>7.4399999999999994E-2</c:v>
                </c:pt>
                <c:pt idx="44">
                  <c:v>7.5200000000000003E-2</c:v>
                </c:pt>
                <c:pt idx="45">
                  <c:v>7.6000000000000012E-2</c:v>
                </c:pt>
                <c:pt idx="46">
                  <c:v>7.6800000000000007E-2</c:v>
                </c:pt>
                <c:pt idx="47">
                  <c:v>7.7600000000000002E-2</c:v>
                </c:pt>
                <c:pt idx="48">
                  <c:v>7.8399999999999997E-2</c:v>
                </c:pt>
                <c:pt idx="49">
                  <c:v>7.9200000000000007E-2</c:v>
                </c:pt>
                <c:pt idx="50">
                  <c:v>0.08</c:v>
                </c:pt>
                <c:pt idx="51">
                  <c:v>8.0800000000000011E-2</c:v>
                </c:pt>
                <c:pt idx="52">
                  <c:v>8.1600000000000006E-2</c:v>
                </c:pt>
                <c:pt idx="53">
                  <c:v>8.2400000000000001E-2</c:v>
                </c:pt>
                <c:pt idx="54">
                  <c:v>8.3199999999999996E-2</c:v>
                </c:pt>
                <c:pt idx="55">
                  <c:v>8.4000000000000005E-2</c:v>
                </c:pt>
                <c:pt idx="56">
                  <c:v>8.4799999999999986E-2</c:v>
                </c:pt>
                <c:pt idx="57">
                  <c:v>8.5600000000000009E-2</c:v>
                </c:pt>
                <c:pt idx="58">
                  <c:v>8.6400000000000005E-2</c:v>
                </c:pt>
                <c:pt idx="59">
                  <c:v>8.72E-2</c:v>
                </c:pt>
                <c:pt idx="60">
                  <c:v>8.8000000000000009E-2</c:v>
                </c:pt>
                <c:pt idx="61">
                  <c:v>8.879999999999999E-2</c:v>
                </c:pt>
                <c:pt idx="62">
                  <c:v>8.9600000000000013E-2</c:v>
                </c:pt>
                <c:pt idx="63">
                  <c:v>9.0400000000000008E-2</c:v>
                </c:pt>
                <c:pt idx="64">
                  <c:v>9.1200000000000003E-2</c:v>
                </c:pt>
                <c:pt idx="65">
                  <c:v>9.1999999999999998E-2</c:v>
                </c:pt>
                <c:pt idx="66">
                  <c:v>9.2799999999999994E-2</c:v>
                </c:pt>
                <c:pt idx="67">
                  <c:v>9.3600000000000003E-2</c:v>
                </c:pt>
                <c:pt idx="68">
                  <c:v>9.4400000000000012E-2</c:v>
                </c:pt>
                <c:pt idx="69">
                  <c:v>9.5200000000000007E-2</c:v>
                </c:pt>
                <c:pt idx="70">
                  <c:v>9.6000000000000002E-2</c:v>
                </c:pt>
                <c:pt idx="71">
                  <c:v>9.6799999999999997E-2</c:v>
                </c:pt>
                <c:pt idx="72">
                  <c:v>9.7600000000000006E-2</c:v>
                </c:pt>
                <c:pt idx="73">
                  <c:v>9.8400000000000001E-2</c:v>
                </c:pt>
                <c:pt idx="74">
                  <c:v>9.920000000000001E-2</c:v>
                </c:pt>
                <c:pt idx="75">
                  <c:v>0.1</c:v>
                </c:pt>
                <c:pt idx="76">
                  <c:v>0.1008</c:v>
                </c:pt>
                <c:pt idx="77">
                  <c:v>0.1016</c:v>
                </c:pt>
                <c:pt idx="78">
                  <c:v>0.1024</c:v>
                </c:pt>
                <c:pt idx="79">
                  <c:v>0.10320000000000001</c:v>
                </c:pt>
                <c:pt idx="80">
                  <c:v>0.10400000000000001</c:v>
                </c:pt>
                <c:pt idx="81">
                  <c:v>0.1048</c:v>
                </c:pt>
                <c:pt idx="82">
                  <c:v>0.1056</c:v>
                </c:pt>
                <c:pt idx="83">
                  <c:v>0.10639999999999999</c:v>
                </c:pt>
                <c:pt idx="84">
                  <c:v>0.10720000000000002</c:v>
                </c:pt>
                <c:pt idx="85">
                  <c:v>0.10800000000000001</c:v>
                </c:pt>
                <c:pt idx="86">
                  <c:v>0.10880000000000001</c:v>
                </c:pt>
                <c:pt idx="87">
                  <c:v>0.1096</c:v>
                </c:pt>
                <c:pt idx="88">
                  <c:v>0.1104</c:v>
                </c:pt>
                <c:pt idx="89">
                  <c:v>0.11120000000000002</c:v>
                </c:pt>
                <c:pt idx="90">
                  <c:v>0.11200000000000002</c:v>
                </c:pt>
                <c:pt idx="91">
                  <c:v>0.11280000000000001</c:v>
                </c:pt>
                <c:pt idx="92">
                  <c:v>0.11360000000000001</c:v>
                </c:pt>
                <c:pt idx="93">
                  <c:v>0.1144</c:v>
                </c:pt>
                <c:pt idx="94">
                  <c:v>0.1152</c:v>
                </c:pt>
                <c:pt idx="95">
                  <c:v>0.11600000000000002</c:v>
                </c:pt>
                <c:pt idx="96">
                  <c:v>0.11679999999999999</c:v>
                </c:pt>
                <c:pt idx="97">
                  <c:v>0.11760000000000001</c:v>
                </c:pt>
                <c:pt idx="98">
                  <c:v>0.11840000000000001</c:v>
                </c:pt>
                <c:pt idx="99">
                  <c:v>0.1192</c:v>
                </c:pt>
                <c:pt idx="10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82-4645-9F0E-1DE6C92883CB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82-4645-9F0E-1DE6C92883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Sheet1!$A$8:$A$108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Sheet1!$F$8:$F$108</c:f>
              <c:numCache>
                <c:formatCode>General</c:formatCode>
                <c:ptCount val="101"/>
                <c:pt idx="0">
                  <c:v>-0.04</c:v>
                </c:pt>
                <c:pt idx="1">
                  <c:v>-4.0800000000000003E-2</c:v>
                </c:pt>
                <c:pt idx="2">
                  <c:v>-4.1599999999999998E-2</c:v>
                </c:pt>
                <c:pt idx="3">
                  <c:v>-4.24E-2</c:v>
                </c:pt>
                <c:pt idx="4">
                  <c:v>-4.3200000000000002E-2</c:v>
                </c:pt>
                <c:pt idx="5">
                  <c:v>-4.3999999999999997E-2</c:v>
                </c:pt>
                <c:pt idx="6">
                  <c:v>-4.48E-2</c:v>
                </c:pt>
                <c:pt idx="7">
                  <c:v>-4.5600000000000002E-2</c:v>
                </c:pt>
                <c:pt idx="8">
                  <c:v>-4.6400000000000004E-2</c:v>
                </c:pt>
                <c:pt idx="9">
                  <c:v>-4.7199999999999999E-2</c:v>
                </c:pt>
                <c:pt idx="10">
                  <c:v>-4.8000000000000001E-2</c:v>
                </c:pt>
                <c:pt idx="11">
                  <c:v>-4.8800000000000003E-2</c:v>
                </c:pt>
                <c:pt idx="12">
                  <c:v>-4.9599999999999998E-2</c:v>
                </c:pt>
                <c:pt idx="13">
                  <c:v>-5.04E-2</c:v>
                </c:pt>
                <c:pt idx="14">
                  <c:v>-5.1199999999999996E-2</c:v>
                </c:pt>
                <c:pt idx="15">
                  <c:v>-5.2000000000000005E-2</c:v>
                </c:pt>
                <c:pt idx="16">
                  <c:v>-5.28E-2</c:v>
                </c:pt>
                <c:pt idx="17">
                  <c:v>-5.3600000000000002E-2</c:v>
                </c:pt>
                <c:pt idx="18">
                  <c:v>-5.4400000000000004E-2</c:v>
                </c:pt>
                <c:pt idx="19">
                  <c:v>-5.5199999999999999E-2</c:v>
                </c:pt>
                <c:pt idx="20">
                  <c:v>-5.6000000000000001E-2</c:v>
                </c:pt>
                <c:pt idx="21">
                  <c:v>-5.6800000000000003E-2</c:v>
                </c:pt>
                <c:pt idx="22">
                  <c:v>-5.7599999999999998E-2</c:v>
                </c:pt>
                <c:pt idx="23">
                  <c:v>-5.8400000000000001E-2</c:v>
                </c:pt>
                <c:pt idx="24">
                  <c:v>-5.9200000000000003E-2</c:v>
                </c:pt>
                <c:pt idx="25">
                  <c:v>-0.06</c:v>
                </c:pt>
                <c:pt idx="26">
                  <c:v>-6.08E-2</c:v>
                </c:pt>
                <c:pt idx="27">
                  <c:v>-6.1600000000000002E-2</c:v>
                </c:pt>
                <c:pt idx="28">
                  <c:v>-6.2399999999999997E-2</c:v>
                </c:pt>
                <c:pt idx="29">
                  <c:v>-6.3200000000000006E-2</c:v>
                </c:pt>
                <c:pt idx="30">
                  <c:v>-6.4000000000000001E-2</c:v>
                </c:pt>
                <c:pt idx="31">
                  <c:v>-6.4799999999999996E-2</c:v>
                </c:pt>
                <c:pt idx="32">
                  <c:v>-6.5600000000000006E-2</c:v>
                </c:pt>
                <c:pt idx="33">
                  <c:v>-6.6400000000000001E-2</c:v>
                </c:pt>
                <c:pt idx="34">
                  <c:v>-6.720000000000001E-2</c:v>
                </c:pt>
                <c:pt idx="35">
                  <c:v>-6.8000000000000005E-2</c:v>
                </c:pt>
                <c:pt idx="36">
                  <c:v>-6.88E-2</c:v>
                </c:pt>
                <c:pt idx="37">
                  <c:v>-6.9600000000000009E-2</c:v>
                </c:pt>
                <c:pt idx="38">
                  <c:v>-7.0400000000000004E-2</c:v>
                </c:pt>
                <c:pt idx="39">
                  <c:v>-7.1199999999999999E-2</c:v>
                </c:pt>
                <c:pt idx="40">
                  <c:v>-7.2000000000000008E-2</c:v>
                </c:pt>
                <c:pt idx="41">
                  <c:v>-7.2800000000000004E-2</c:v>
                </c:pt>
                <c:pt idx="42">
                  <c:v>-7.3599999999999999E-2</c:v>
                </c:pt>
                <c:pt idx="43">
                  <c:v>-7.4399999999999994E-2</c:v>
                </c:pt>
                <c:pt idx="44">
                  <c:v>-7.5200000000000003E-2</c:v>
                </c:pt>
                <c:pt idx="45">
                  <c:v>-7.6000000000000012E-2</c:v>
                </c:pt>
                <c:pt idx="46">
                  <c:v>-7.6800000000000007E-2</c:v>
                </c:pt>
                <c:pt idx="47">
                  <c:v>-7.7600000000000002E-2</c:v>
                </c:pt>
                <c:pt idx="48">
                  <c:v>-7.8399999999999997E-2</c:v>
                </c:pt>
                <c:pt idx="49">
                  <c:v>-7.9200000000000007E-2</c:v>
                </c:pt>
                <c:pt idx="50">
                  <c:v>-0.08</c:v>
                </c:pt>
                <c:pt idx="51">
                  <c:v>-8.0800000000000011E-2</c:v>
                </c:pt>
                <c:pt idx="52">
                  <c:v>-8.1600000000000006E-2</c:v>
                </c:pt>
                <c:pt idx="53">
                  <c:v>-8.2400000000000001E-2</c:v>
                </c:pt>
                <c:pt idx="54">
                  <c:v>-8.3199999999999996E-2</c:v>
                </c:pt>
                <c:pt idx="55">
                  <c:v>-8.4000000000000005E-2</c:v>
                </c:pt>
                <c:pt idx="56">
                  <c:v>-8.4799999999999986E-2</c:v>
                </c:pt>
                <c:pt idx="57">
                  <c:v>-8.5600000000000009E-2</c:v>
                </c:pt>
                <c:pt idx="58">
                  <c:v>-8.6400000000000005E-2</c:v>
                </c:pt>
                <c:pt idx="59">
                  <c:v>-8.72E-2</c:v>
                </c:pt>
                <c:pt idx="60">
                  <c:v>-8.8000000000000009E-2</c:v>
                </c:pt>
                <c:pt idx="61">
                  <c:v>-8.879999999999999E-2</c:v>
                </c:pt>
                <c:pt idx="62">
                  <c:v>-8.9600000000000013E-2</c:v>
                </c:pt>
                <c:pt idx="63">
                  <c:v>-9.0400000000000008E-2</c:v>
                </c:pt>
                <c:pt idx="64">
                  <c:v>-9.1200000000000003E-2</c:v>
                </c:pt>
                <c:pt idx="65">
                  <c:v>-9.1999999999999998E-2</c:v>
                </c:pt>
                <c:pt idx="66">
                  <c:v>-9.2799999999999994E-2</c:v>
                </c:pt>
                <c:pt idx="67">
                  <c:v>-9.3600000000000003E-2</c:v>
                </c:pt>
                <c:pt idx="68">
                  <c:v>-9.4400000000000012E-2</c:v>
                </c:pt>
                <c:pt idx="69">
                  <c:v>-9.5200000000000007E-2</c:v>
                </c:pt>
                <c:pt idx="70">
                  <c:v>-9.6000000000000002E-2</c:v>
                </c:pt>
                <c:pt idx="71">
                  <c:v>-9.6799999999999997E-2</c:v>
                </c:pt>
                <c:pt idx="72">
                  <c:v>-9.7600000000000006E-2</c:v>
                </c:pt>
                <c:pt idx="73">
                  <c:v>-9.8400000000000001E-2</c:v>
                </c:pt>
                <c:pt idx="74">
                  <c:v>-9.920000000000001E-2</c:v>
                </c:pt>
                <c:pt idx="75">
                  <c:v>-0.1</c:v>
                </c:pt>
                <c:pt idx="76">
                  <c:v>-0.1008</c:v>
                </c:pt>
                <c:pt idx="77">
                  <c:v>-0.1016</c:v>
                </c:pt>
                <c:pt idx="78">
                  <c:v>-0.1024</c:v>
                </c:pt>
                <c:pt idx="79">
                  <c:v>-0.10320000000000001</c:v>
                </c:pt>
                <c:pt idx="80">
                  <c:v>-0.10400000000000001</c:v>
                </c:pt>
                <c:pt idx="81">
                  <c:v>-0.1048</c:v>
                </c:pt>
                <c:pt idx="82">
                  <c:v>-0.1056</c:v>
                </c:pt>
                <c:pt idx="83">
                  <c:v>-0.10639999999999999</c:v>
                </c:pt>
                <c:pt idx="84">
                  <c:v>-0.10720000000000002</c:v>
                </c:pt>
                <c:pt idx="85">
                  <c:v>-0.10800000000000001</c:v>
                </c:pt>
                <c:pt idx="86">
                  <c:v>-0.10880000000000001</c:v>
                </c:pt>
                <c:pt idx="87">
                  <c:v>-0.1096</c:v>
                </c:pt>
                <c:pt idx="88">
                  <c:v>-0.1104</c:v>
                </c:pt>
                <c:pt idx="89">
                  <c:v>-0.11120000000000002</c:v>
                </c:pt>
                <c:pt idx="90">
                  <c:v>-0.11200000000000002</c:v>
                </c:pt>
                <c:pt idx="91">
                  <c:v>-0.11280000000000001</c:v>
                </c:pt>
                <c:pt idx="92">
                  <c:v>-0.11360000000000001</c:v>
                </c:pt>
                <c:pt idx="93">
                  <c:v>-0.1144</c:v>
                </c:pt>
                <c:pt idx="94">
                  <c:v>-0.1152</c:v>
                </c:pt>
                <c:pt idx="95">
                  <c:v>-0.11600000000000002</c:v>
                </c:pt>
                <c:pt idx="96">
                  <c:v>-0.11679999999999999</c:v>
                </c:pt>
                <c:pt idx="97">
                  <c:v>-0.11760000000000001</c:v>
                </c:pt>
                <c:pt idx="98">
                  <c:v>-0.11840000000000001</c:v>
                </c:pt>
                <c:pt idx="99">
                  <c:v>-0.1192</c:v>
                </c:pt>
                <c:pt idx="100">
                  <c:v>-0.12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82-4645-9F0E-1DE6C928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77408"/>
        <c:axId val="133383680"/>
      </c:scatterChart>
      <c:valAx>
        <c:axId val="133377408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83680"/>
        <c:crosses val="autoZero"/>
        <c:crossBetween val="midCat"/>
      </c:valAx>
      <c:valAx>
        <c:axId val="1333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SLPM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77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(%of Reading)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Sheet1!$A$9:$A$108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Sheet1!$G$9:$G$108</c:f>
              <c:numCache>
                <c:formatCode>0.00</c:formatCode>
                <c:ptCount val="100"/>
                <c:pt idx="0">
                  <c:v>20.400000000000002</c:v>
                </c:pt>
                <c:pt idx="1">
                  <c:v>10.4</c:v>
                </c:pt>
                <c:pt idx="2">
                  <c:v>7.0666666666666673</c:v>
                </c:pt>
                <c:pt idx="3">
                  <c:v>5.4</c:v>
                </c:pt>
                <c:pt idx="4">
                  <c:v>4.3999999999999995</c:v>
                </c:pt>
                <c:pt idx="5">
                  <c:v>3.7333333333333338</c:v>
                </c:pt>
                <c:pt idx="6">
                  <c:v>3.2571428571428576</c:v>
                </c:pt>
                <c:pt idx="7">
                  <c:v>2.9000000000000004</c:v>
                </c:pt>
                <c:pt idx="8">
                  <c:v>2.6222222222222218</c:v>
                </c:pt>
                <c:pt idx="9">
                  <c:v>2.4</c:v>
                </c:pt>
                <c:pt idx="10">
                  <c:v>2.2181818181818183</c:v>
                </c:pt>
                <c:pt idx="11">
                  <c:v>2.0666666666666664</c:v>
                </c:pt>
                <c:pt idx="12">
                  <c:v>1.9384615384615385</c:v>
                </c:pt>
                <c:pt idx="13">
                  <c:v>1.8285714285714283</c:v>
                </c:pt>
                <c:pt idx="14">
                  <c:v>1.7333333333333336</c:v>
                </c:pt>
                <c:pt idx="15">
                  <c:v>1.6499999999999997</c:v>
                </c:pt>
                <c:pt idx="16">
                  <c:v>1.5764705882352941</c:v>
                </c:pt>
                <c:pt idx="17">
                  <c:v>1.5111111111111111</c:v>
                </c:pt>
                <c:pt idx="18">
                  <c:v>1.4526315789473685</c:v>
                </c:pt>
                <c:pt idx="19">
                  <c:v>1.4000000000000001</c:v>
                </c:pt>
                <c:pt idx="20">
                  <c:v>1.3523809523809525</c:v>
                </c:pt>
                <c:pt idx="21">
                  <c:v>1.3090909090909089</c:v>
                </c:pt>
                <c:pt idx="22">
                  <c:v>1.2695652173913046</c:v>
                </c:pt>
                <c:pt idx="23">
                  <c:v>1.2333333333333334</c:v>
                </c:pt>
                <c:pt idx="24">
                  <c:v>1.2</c:v>
                </c:pt>
                <c:pt idx="25">
                  <c:v>1.1692307692307691</c:v>
                </c:pt>
                <c:pt idx="26">
                  <c:v>1.1407407407407408</c:v>
                </c:pt>
                <c:pt idx="27">
                  <c:v>1.1142857142857143</c:v>
                </c:pt>
                <c:pt idx="28">
                  <c:v>1.0896551724137933</c:v>
                </c:pt>
                <c:pt idx="29">
                  <c:v>1.0666666666666667</c:v>
                </c:pt>
                <c:pt idx="30">
                  <c:v>1.0451612903225806</c:v>
                </c:pt>
                <c:pt idx="31">
                  <c:v>1.0250000000000001</c:v>
                </c:pt>
                <c:pt idx="32">
                  <c:v>1.0060606060606061</c:v>
                </c:pt>
                <c:pt idx="33">
                  <c:v>0.98823529411764721</c:v>
                </c:pt>
                <c:pt idx="34">
                  <c:v>0.97142857142857153</c:v>
                </c:pt>
                <c:pt idx="35">
                  <c:v>0.95555555555555549</c:v>
                </c:pt>
                <c:pt idx="36">
                  <c:v>0.94054054054054059</c:v>
                </c:pt>
                <c:pt idx="37">
                  <c:v>0.92631578947368431</c:v>
                </c:pt>
                <c:pt idx="38">
                  <c:v>0.91282051282051291</c:v>
                </c:pt>
                <c:pt idx="39">
                  <c:v>0.90000000000000013</c:v>
                </c:pt>
                <c:pt idx="40">
                  <c:v>0.88780487804878061</c:v>
                </c:pt>
                <c:pt idx="41">
                  <c:v>0.87619047619047608</c:v>
                </c:pt>
                <c:pt idx="42">
                  <c:v>0.8651162790697674</c:v>
                </c:pt>
                <c:pt idx="43">
                  <c:v>0.8545454545454545</c:v>
                </c:pt>
                <c:pt idx="44">
                  <c:v>0.84444444444444455</c:v>
                </c:pt>
                <c:pt idx="45">
                  <c:v>0.83478260869565224</c:v>
                </c:pt>
                <c:pt idx="46">
                  <c:v>0.82553191489361699</c:v>
                </c:pt>
                <c:pt idx="47">
                  <c:v>0.81666666666666676</c:v>
                </c:pt>
                <c:pt idx="48">
                  <c:v>0.80816326530612248</c:v>
                </c:pt>
                <c:pt idx="49">
                  <c:v>0.8</c:v>
                </c:pt>
                <c:pt idx="50">
                  <c:v>0.79215686274509822</c:v>
                </c:pt>
                <c:pt idx="51">
                  <c:v>0.7846153846153846</c:v>
                </c:pt>
                <c:pt idx="52">
                  <c:v>0.77735849056603779</c:v>
                </c:pt>
                <c:pt idx="53">
                  <c:v>0.77037037037037026</c:v>
                </c:pt>
                <c:pt idx="54">
                  <c:v>0.76363636363636367</c:v>
                </c:pt>
                <c:pt idx="55">
                  <c:v>0.75714285714285712</c:v>
                </c:pt>
                <c:pt idx="56">
                  <c:v>0.75087719298245625</c:v>
                </c:pt>
                <c:pt idx="57">
                  <c:v>0.7448275862068966</c:v>
                </c:pt>
                <c:pt idx="58">
                  <c:v>0.73898305084745763</c:v>
                </c:pt>
                <c:pt idx="59">
                  <c:v>0.73333333333333339</c:v>
                </c:pt>
                <c:pt idx="60">
                  <c:v>0.72786885245901634</c:v>
                </c:pt>
                <c:pt idx="61">
                  <c:v>0.72258064516129039</c:v>
                </c:pt>
                <c:pt idx="62">
                  <c:v>0.71746031746031758</c:v>
                </c:pt>
                <c:pt idx="63">
                  <c:v>0.71250000000000002</c:v>
                </c:pt>
                <c:pt idx="64">
                  <c:v>0.70769230769230773</c:v>
                </c:pt>
                <c:pt idx="65">
                  <c:v>0.70303030303030301</c:v>
                </c:pt>
                <c:pt idx="66">
                  <c:v>0.69850746268656716</c:v>
                </c:pt>
                <c:pt idx="67">
                  <c:v>0.69411764705882362</c:v>
                </c:pt>
                <c:pt idx="68">
                  <c:v>0.68985507246376809</c:v>
                </c:pt>
                <c:pt idx="69">
                  <c:v>0.68571428571428572</c:v>
                </c:pt>
                <c:pt idx="70">
                  <c:v>0.6816901408450704</c:v>
                </c:pt>
                <c:pt idx="71">
                  <c:v>0.67777777777777781</c:v>
                </c:pt>
                <c:pt idx="72">
                  <c:v>0.67397260273972603</c:v>
                </c:pt>
                <c:pt idx="73">
                  <c:v>0.67027027027027031</c:v>
                </c:pt>
                <c:pt idx="74">
                  <c:v>0.66666666666666674</c:v>
                </c:pt>
                <c:pt idx="75">
                  <c:v>0.66315789473684217</c:v>
                </c:pt>
                <c:pt idx="76">
                  <c:v>0.65974025974025963</c:v>
                </c:pt>
                <c:pt idx="77">
                  <c:v>0.65641025641025641</c:v>
                </c:pt>
                <c:pt idx="78">
                  <c:v>0.65316455696202536</c:v>
                </c:pt>
                <c:pt idx="79">
                  <c:v>0.65</c:v>
                </c:pt>
                <c:pt idx="80">
                  <c:v>0.64691358024691359</c:v>
                </c:pt>
                <c:pt idx="81">
                  <c:v>0.64390243902439026</c:v>
                </c:pt>
                <c:pt idx="82">
                  <c:v>0.64096385542168666</c:v>
                </c:pt>
                <c:pt idx="83">
                  <c:v>0.63809523809523816</c:v>
                </c:pt>
                <c:pt idx="84">
                  <c:v>0.6352941176470589</c:v>
                </c:pt>
                <c:pt idx="85">
                  <c:v>0.63255813953488382</c:v>
                </c:pt>
                <c:pt idx="86">
                  <c:v>0.62988505747126444</c:v>
                </c:pt>
                <c:pt idx="87">
                  <c:v>0.6272727272727272</c:v>
                </c:pt>
                <c:pt idx="88">
                  <c:v>0.62471910112359552</c:v>
                </c:pt>
                <c:pt idx="89">
                  <c:v>0.62222222222222223</c:v>
                </c:pt>
                <c:pt idx="90">
                  <c:v>0.61978021978021991</c:v>
                </c:pt>
                <c:pt idx="91">
                  <c:v>0.61739130434782619</c:v>
                </c:pt>
                <c:pt idx="92">
                  <c:v>0.61505376344086016</c:v>
                </c:pt>
                <c:pt idx="93">
                  <c:v>0.61276595744680851</c:v>
                </c:pt>
                <c:pt idx="94">
                  <c:v>0.61052631578947381</c:v>
                </c:pt>
                <c:pt idx="95">
                  <c:v>0.60833333333333328</c:v>
                </c:pt>
                <c:pt idx="96">
                  <c:v>0.60618556701030935</c:v>
                </c:pt>
                <c:pt idx="97">
                  <c:v>0.60408163265306114</c:v>
                </c:pt>
                <c:pt idx="98">
                  <c:v>0.60202020202020201</c:v>
                </c:pt>
                <c:pt idx="99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8-415E-ACF0-DEC0F8A6D15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Sheet1!$A$9:$A$108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Sheet1!$H$9:$H$108</c:f>
              <c:numCache>
                <c:formatCode>0.00</c:formatCode>
                <c:ptCount val="100"/>
                <c:pt idx="0">
                  <c:v>-20.400000000000002</c:v>
                </c:pt>
                <c:pt idx="1">
                  <c:v>-10.4</c:v>
                </c:pt>
                <c:pt idx="2">
                  <c:v>-7.0666666666666673</c:v>
                </c:pt>
                <c:pt idx="3">
                  <c:v>-5.4</c:v>
                </c:pt>
                <c:pt idx="4">
                  <c:v>-4.3999999999999995</c:v>
                </c:pt>
                <c:pt idx="5">
                  <c:v>-3.7333333333333338</c:v>
                </c:pt>
                <c:pt idx="6">
                  <c:v>-3.2571428571428576</c:v>
                </c:pt>
                <c:pt idx="7">
                  <c:v>-2.9000000000000004</c:v>
                </c:pt>
                <c:pt idx="8">
                  <c:v>-2.6222222222222218</c:v>
                </c:pt>
                <c:pt idx="9">
                  <c:v>-2.4</c:v>
                </c:pt>
                <c:pt idx="10">
                  <c:v>-2.2181818181818183</c:v>
                </c:pt>
                <c:pt idx="11">
                  <c:v>-2.0666666666666664</c:v>
                </c:pt>
                <c:pt idx="12">
                  <c:v>-1.9384615384615385</c:v>
                </c:pt>
                <c:pt idx="13">
                  <c:v>-1.8285714285714283</c:v>
                </c:pt>
                <c:pt idx="14">
                  <c:v>-1.7333333333333336</c:v>
                </c:pt>
                <c:pt idx="15">
                  <c:v>-1.6499999999999997</c:v>
                </c:pt>
                <c:pt idx="16">
                  <c:v>-1.5764705882352941</c:v>
                </c:pt>
                <c:pt idx="17">
                  <c:v>-1.5111111111111111</c:v>
                </c:pt>
                <c:pt idx="18">
                  <c:v>-1.4526315789473685</c:v>
                </c:pt>
                <c:pt idx="19">
                  <c:v>-1.4000000000000001</c:v>
                </c:pt>
                <c:pt idx="20">
                  <c:v>-1.3523809523809525</c:v>
                </c:pt>
                <c:pt idx="21">
                  <c:v>-1.3090909090909089</c:v>
                </c:pt>
                <c:pt idx="22">
                  <c:v>-1.2695652173913046</c:v>
                </c:pt>
                <c:pt idx="23">
                  <c:v>-1.2333333333333334</c:v>
                </c:pt>
                <c:pt idx="24">
                  <c:v>-1.2</c:v>
                </c:pt>
                <c:pt idx="25">
                  <c:v>-1.1692307692307691</c:v>
                </c:pt>
                <c:pt idx="26">
                  <c:v>-1.1407407407407408</c:v>
                </c:pt>
                <c:pt idx="27">
                  <c:v>-1.1142857142857143</c:v>
                </c:pt>
                <c:pt idx="28">
                  <c:v>-1.0896551724137933</c:v>
                </c:pt>
                <c:pt idx="29">
                  <c:v>-1.0666666666666667</c:v>
                </c:pt>
                <c:pt idx="30">
                  <c:v>-1.0451612903225806</c:v>
                </c:pt>
                <c:pt idx="31">
                  <c:v>-1.0250000000000001</c:v>
                </c:pt>
                <c:pt idx="32">
                  <c:v>-1.0060606060606061</c:v>
                </c:pt>
                <c:pt idx="33">
                  <c:v>-0.98823529411764721</c:v>
                </c:pt>
                <c:pt idx="34">
                  <c:v>-0.97142857142857153</c:v>
                </c:pt>
                <c:pt idx="35">
                  <c:v>-0.95555555555555549</c:v>
                </c:pt>
                <c:pt idx="36">
                  <c:v>-0.94054054054054059</c:v>
                </c:pt>
                <c:pt idx="37">
                  <c:v>-0.92631578947368431</c:v>
                </c:pt>
                <c:pt idx="38">
                  <c:v>-0.91282051282051291</c:v>
                </c:pt>
                <c:pt idx="39">
                  <c:v>-0.90000000000000013</c:v>
                </c:pt>
                <c:pt idx="40">
                  <c:v>-0.88780487804878061</c:v>
                </c:pt>
                <c:pt idx="41">
                  <c:v>-0.87619047619047608</c:v>
                </c:pt>
                <c:pt idx="42">
                  <c:v>-0.8651162790697674</c:v>
                </c:pt>
                <c:pt idx="43">
                  <c:v>-0.8545454545454545</c:v>
                </c:pt>
                <c:pt idx="44">
                  <c:v>-0.84444444444444455</c:v>
                </c:pt>
                <c:pt idx="45">
                  <c:v>-0.83478260869565224</c:v>
                </c:pt>
                <c:pt idx="46">
                  <c:v>-0.82553191489361699</c:v>
                </c:pt>
                <c:pt idx="47">
                  <c:v>-0.81666666666666676</c:v>
                </c:pt>
                <c:pt idx="48">
                  <c:v>-0.80816326530612248</c:v>
                </c:pt>
                <c:pt idx="49">
                  <c:v>-0.8</c:v>
                </c:pt>
                <c:pt idx="50">
                  <c:v>-0.79215686274509822</c:v>
                </c:pt>
                <c:pt idx="51">
                  <c:v>-0.7846153846153846</c:v>
                </c:pt>
                <c:pt idx="52">
                  <c:v>-0.77735849056603779</c:v>
                </c:pt>
                <c:pt idx="53">
                  <c:v>-0.77037037037037026</c:v>
                </c:pt>
                <c:pt idx="54">
                  <c:v>-0.76363636363636367</c:v>
                </c:pt>
                <c:pt idx="55">
                  <c:v>-0.75714285714285712</c:v>
                </c:pt>
                <c:pt idx="56">
                  <c:v>-0.75087719298245625</c:v>
                </c:pt>
                <c:pt idx="57">
                  <c:v>-0.7448275862068966</c:v>
                </c:pt>
                <c:pt idx="58">
                  <c:v>-0.73898305084745763</c:v>
                </c:pt>
                <c:pt idx="59">
                  <c:v>-0.73333333333333339</c:v>
                </c:pt>
                <c:pt idx="60">
                  <c:v>-0.72786885245901634</c:v>
                </c:pt>
                <c:pt idx="61">
                  <c:v>-0.72258064516129039</c:v>
                </c:pt>
                <c:pt idx="62">
                  <c:v>-0.71746031746031758</c:v>
                </c:pt>
                <c:pt idx="63">
                  <c:v>-0.71250000000000002</c:v>
                </c:pt>
                <c:pt idx="64">
                  <c:v>-0.70769230769230773</c:v>
                </c:pt>
                <c:pt idx="65">
                  <c:v>-0.70303030303030301</c:v>
                </c:pt>
                <c:pt idx="66">
                  <c:v>-0.69850746268656716</c:v>
                </c:pt>
                <c:pt idx="67">
                  <c:v>-0.69411764705882362</c:v>
                </c:pt>
                <c:pt idx="68">
                  <c:v>-0.68985507246376809</c:v>
                </c:pt>
                <c:pt idx="69">
                  <c:v>-0.68571428571428572</c:v>
                </c:pt>
                <c:pt idx="70">
                  <c:v>-0.6816901408450704</c:v>
                </c:pt>
                <c:pt idx="71">
                  <c:v>-0.67777777777777781</c:v>
                </c:pt>
                <c:pt idx="72">
                  <c:v>-0.67397260273972603</c:v>
                </c:pt>
                <c:pt idx="73">
                  <c:v>-0.67027027027027031</c:v>
                </c:pt>
                <c:pt idx="74">
                  <c:v>-0.66666666666666674</c:v>
                </c:pt>
                <c:pt idx="75">
                  <c:v>-0.66315789473684217</c:v>
                </c:pt>
                <c:pt idx="76">
                  <c:v>-0.65974025974025963</c:v>
                </c:pt>
                <c:pt idx="77">
                  <c:v>-0.65641025641025641</c:v>
                </c:pt>
                <c:pt idx="78">
                  <c:v>-0.65316455696202536</c:v>
                </c:pt>
                <c:pt idx="79">
                  <c:v>-0.65</c:v>
                </c:pt>
                <c:pt idx="80">
                  <c:v>-0.64691358024691359</c:v>
                </c:pt>
                <c:pt idx="81">
                  <c:v>-0.64390243902439026</c:v>
                </c:pt>
                <c:pt idx="82">
                  <c:v>-0.64096385542168666</c:v>
                </c:pt>
                <c:pt idx="83">
                  <c:v>-0.63809523809523816</c:v>
                </c:pt>
                <c:pt idx="84">
                  <c:v>-0.6352941176470589</c:v>
                </c:pt>
                <c:pt idx="85">
                  <c:v>-0.63255813953488382</c:v>
                </c:pt>
                <c:pt idx="86">
                  <c:v>-0.62988505747126444</c:v>
                </c:pt>
                <c:pt idx="87">
                  <c:v>-0.6272727272727272</c:v>
                </c:pt>
                <c:pt idx="88">
                  <c:v>-0.62471910112359552</c:v>
                </c:pt>
                <c:pt idx="89">
                  <c:v>-0.62222222222222223</c:v>
                </c:pt>
                <c:pt idx="90">
                  <c:v>-0.61978021978021991</c:v>
                </c:pt>
                <c:pt idx="91">
                  <c:v>-0.61739130434782619</c:v>
                </c:pt>
                <c:pt idx="92">
                  <c:v>-0.61505376344086016</c:v>
                </c:pt>
                <c:pt idx="93">
                  <c:v>-0.61276595744680851</c:v>
                </c:pt>
                <c:pt idx="94">
                  <c:v>-0.61052631578947381</c:v>
                </c:pt>
                <c:pt idx="95">
                  <c:v>-0.60833333333333328</c:v>
                </c:pt>
                <c:pt idx="96">
                  <c:v>-0.60618556701030935</c:v>
                </c:pt>
                <c:pt idx="97">
                  <c:v>-0.60408163265306114</c:v>
                </c:pt>
                <c:pt idx="98">
                  <c:v>-0.60202020202020201</c:v>
                </c:pt>
                <c:pt idx="99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98-415E-ACF0-DEC0F8A6D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65952"/>
        <c:axId val="138368128"/>
      </c:scatterChart>
      <c:valAx>
        <c:axId val="13836595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8128"/>
        <c:crosses val="autoZero"/>
        <c:crossBetween val="midCat"/>
      </c:valAx>
      <c:valAx>
        <c:axId val="13836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SLPM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95249</xdr:colOff>
      <xdr:row>8</xdr:row>
      <xdr:rowOff>76200</xdr:rowOff>
    </xdr:from>
    <xdr:to>
      <xdr:col>20</xdr:col>
      <xdr:colOff>85725</xdr:colOff>
      <xdr:row>23</xdr:row>
      <xdr:rowOff>47626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95251</xdr:colOff>
      <xdr:row>23</xdr:row>
      <xdr:rowOff>85726</xdr:rowOff>
    </xdr:from>
    <xdr:to>
      <xdr:col>19</xdr:col>
      <xdr:colOff>476251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85725</xdr:colOff>
      <xdr:row>0</xdr:row>
      <xdr:rowOff>47625</xdr:rowOff>
    </xdr:from>
    <xdr:to>
      <xdr:col>18</xdr:col>
      <xdr:colOff>171450</xdr:colOff>
      <xdr:row>8</xdr:row>
      <xdr:rowOff>66674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34450" y="47625"/>
          <a:ext cx="4962525" cy="1352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Totalizer accuracy</a:t>
          </a:r>
          <a:r>
            <a:rPr lang="en-US" sz="1100" baseline="0"/>
            <a:t> is identical. Therefore, 50 liters of gas will be +/- 1%.</a:t>
          </a:r>
        </a:p>
        <a:p>
          <a:endParaRPr lang="en-US" sz="1100" baseline="0"/>
        </a:p>
        <a:p>
          <a:r>
            <a:rPr lang="en-US" sz="1100" baseline="0"/>
            <a:t>With 9999.99L (6 digit display) accuracy will be +/- 99.999 L </a:t>
          </a:r>
        </a:p>
        <a:p>
          <a:r>
            <a:rPr lang="en-US" sz="1100" baseline="0"/>
            <a:t>I need the 0.4/0.2 % accuracy for DOE. The spec calls for 1%. Want to be better.</a:t>
          </a:r>
        </a:p>
        <a:p>
          <a:endParaRPr lang="en-US" sz="1100" baseline="0"/>
        </a:p>
        <a:p>
          <a:r>
            <a:rPr lang="en-US" sz="1100" baseline="0"/>
            <a:t>At 50LPM and 9999.99 Total resolution. The Range can run for 200 min without reset</a:t>
          </a:r>
          <a:endParaRPr lang="en-US" sz="1100"/>
        </a:p>
      </xdr:txBody>
    </xdr:sp>
    <xdr:clientData/>
  </xdr:twoCellAnchor>
  <xdr:twoCellAnchor>
    <xdr:from>
      <xdr:col>10</xdr:col>
      <xdr:colOff>135255</xdr:colOff>
      <xdr:row>42</xdr:row>
      <xdr:rowOff>97155</xdr:rowOff>
    </xdr:from>
    <xdr:to>
      <xdr:col>19</xdr:col>
      <xdr:colOff>516255</xdr:colOff>
      <xdr:row>61</xdr:row>
      <xdr:rowOff>17144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882015</xdr:colOff>
      <xdr:row>59</xdr:row>
      <xdr:rowOff>167641</xdr:rowOff>
    </xdr:from>
    <xdr:to>
      <xdr:col>6</xdr:col>
      <xdr:colOff>541020</xdr:colOff>
      <xdr:row>61</xdr:row>
      <xdr:rowOff>129541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8A82D68-6512-48B5-A6E4-FAD6A640D9AC}"/>
            </a:ext>
          </a:extLst>
        </xdr:cNvPr>
        <xdr:cNvSpPr txBox="1"/>
      </xdr:nvSpPr>
      <xdr:spPr>
        <a:xfrm>
          <a:off x="3234690" y="11130916"/>
          <a:ext cx="368808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Typical Gas Dryer Range is 20,000 BTU/HR to 25,000 BTU/HR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8"/>
  <sheetViews>
    <sheetView tabSelected="1" workbookViewId="0">
      <pane ySplit="7" topLeftCell="A8" activePane="bottomLeft" state="frozen"/>
      <selection pane="bottomLeft" activeCell="H3" sqref="H3"/>
    </sheetView>
  </sheetViews>
  <sheetFormatPr defaultRowHeight="14.4" x14ac:dyDescent="0.3"/>
  <cols>
    <col min="1" max="1" width="22.33203125" bestFit="1" customWidth="1"/>
    <col min="2" max="4" width="16.6640625" customWidth="1"/>
    <col min="5" max="5" width="12.88671875" bestFit="1" customWidth="1"/>
    <col min="6" max="6" width="12.5546875" bestFit="1" customWidth="1"/>
    <col min="7" max="7" width="18" bestFit="1" customWidth="1"/>
    <col min="8" max="8" width="17.33203125" bestFit="1" customWidth="1"/>
    <col min="9" max="9" width="19.109375" bestFit="1" customWidth="1"/>
    <col min="10" max="10" width="18.44140625" bestFit="1" customWidth="1"/>
  </cols>
  <sheetData>
    <row r="1" spans="1:10" x14ac:dyDescent="0.3">
      <c r="A1" s="1"/>
      <c r="B1" s="1" t="s">
        <v>2</v>
      </c>
      <c r="C1" s="14"/>
      <c r="D1" s="14"/>
    </row>
    <row r="2" spans="1:10" x14ac:dyDescent="0.3">
      <c r="A2" s="1" t="s">
        <v>1</v>
      </c>
      <c r="B2" s="2">
        <v>20</v>
      </c>
      <c r="C2" s="12"/>
      <c r="D2" s="22"/>
    </row>
    <row r="3" spans="1:10" x14ac:dyDescent="0.3">
      <c r="A3" s="1" t="s">
        <v>3</v>
      </c>
      <c r="B3" s="2">
        <v>0.4</v>
      </c>
      <c r="C3" s="12"/>
      <c r="D3" s="12"/>
    </row>
    <row r="4" spans="1:10" x14ac:dyDescent="0.3">
      <c r="A4" s="1" t="s">
        <v>4</v>
      </c>
      <c r="B4" s="2">
        <v>0.2</v>
      </c>
      <c r="C4" s="12"/>
      <c r="D4" s="12"/>
    </row>
    <row r="5" spans="1:10" x14ac:dyDescent="0.3">
      <c r="A5" s="1" t="s">
        <v>14</v>
      </c>
      <c r="B5" s="15">
        <v>1000</v>
      </c>
      <c r="C5" s="12"/>
      <c r="D5" s="12"/>
    </row>
    <row r="6" spans="1:10" ht="36.75" customHeight="1" x14ac:dyDescent="0.3">
      <c r="I6" s="10" t="s">
        <v>11</v>
      </c>
      <c r="J6" s="11"/>
    </row>
    <row r="7" spans="1:10" x14ac:dyDescent="0.3">
      <c r="A7" s="1" t="s">
        <v>0</v>
      </c>
      <c r="B7" s="1" t="s">
        <v>2</v>
      </c>
      <c r="C7" s="1" t="s">
        <v>12</v>
      </c>
      <c r="D7" s="1" t="s">
        <v>13</v>
      </c>
      <c r="E7" s="1" t="s">
        <v>5</v>
      </c>
      <c r="F7" s="1" t="s">
        <v>6</v>
      </c>
      <c r="G7" s="3" t="s">
        <v>9</v>
      </c>
      <c r="H7" s="3" t="s">
        <v>10</v>
      </c>
      <c r="I7" s="3" t="s">
        <v>7</v>
      </c>
      <c r="J7" s="3" t="s">
        <v>8</v>
      </c>
    </row>
    <row r="8" spans="1:10" x14ac:dyDescent="0.3">
      <c r="A8" s="2">
        <v>0</v>
      </c>
      <c r="B8" s="2">
        <f>$B$2*A8/100</f>
        <v>0</v>
      </c>
      <c r="C8" s="13">
        <f>B8*2.11939</f>
        <v>0</v>
      </c>
      <c r="D8" s="13">
        <f>C8*$B$5</f>
        <v>0</v>
      </c>
      <c r="E8" s="2">
        <f>(B8*$B$3/100+$B$2*$B$4/100)</f>
        <v>0.04</v>
      </c>
      <c r="F8" s="2">
        <f>E8*-1</f>
        <v>-0.04</v>
      </c>
      <c r="G8" s="4" t="e">
        <f>E8/B8*100</f>
        <v>#DIV/0!</v>
      </c>
      <c r="H8" s="4" t="e">
        <f>F8/B8*100</f>
        <v>#DIV/0!</v>
      </c>
      <c r="I8" s="5">
        <f>E8/$B$2*100</f>
        <v>0.2</v>
      </c>
      <c r="J8" s="6">
        <f>I8*-1</f>
        <v>-0.2</v>
      </c>
    </row>
    <row r="9" spans="1:10" x14ac:dyDescent="0.3">
      <c r="A9" s="2">
        <v>1</v>
      </c>
      <c r="B9" s="2">
        <f t="shared" ref="B9:B72" si="0">$B$2*A9/100</f>
        <v>0.2</v>
      </c>
      <c r="C9" s="13">
        <f t="shared" ref="C9:C72" si="1">B9*2.11939</f>
        <v>0.42387800000000003</v>
      </c>
      <c r="D9" s="13">
        <f t="shared" ref="D9:D72" si="2">C9*$B$5</f>
        <v>423.87800000000004</v>
      </c>
      <c r="E9" s="2">
        <f t="shared" ref="E9:E72" si="3">(B9*$B$3/100+$B$2*$B$4/100)</f>
        <v>4.0800000000000003E-2</v>
      </c>
      <c r="F9" s="2">
        <f t="shared" ref="F9:F72" si="4">E9*-1</f>
        <v>-4.0800000000000003E-2</v>
      </c>
      <c r="G9" s="4">
        <f t="shared" ref="G9:G72" si="5">E9/B9*100</f>
        <v>20.400000000000002</v>
      </c>
      <c r="H9" s="4">
        <f t="shared" ref="H9:H72" si="6">F9/B9*100</f>
        <v>-20.400000000000002</v>
      </c>
      <c r="I9" s="5">
        <f t="shared" ref="I9:I72" si="7">E9/$B$2*100</f>
        <v>0.20400000000000001</v>
      </c>
      <c r="J9" s="6">
        <f t="shared" ref="J9:J72" si="8">I9*-1</f>
        <v>-0.20400000000000001</v>
      </c>
    </row>
    <row r="10" spans="1:10" x14ac:dyDescent="0.3">
      <c r="A10" s="2">
        <v>2</v>
      </c>
      <c r="B10" s="2">
        <f t="shared" si="0"/>
        <v>0.4</v>
      </c>
      <c r="C10" s="13">
        <f t="shared" si="1"/>
        <v>0.84775600000000007</v>
      </c>
      <c r="D10" s="13">
        <f t="shared" si="2"/>
        <v>847.75600000000009</v>
      </c>
      <c r="E10" s="2">
        <f t="shared" si="3"/>
        <v>4.1599999999999998E-2</v>
      </c>
      <c r="F10" s="2">
        <f t="shared" si="4"/>
        <v>-4.1599999999999998E-2</v>
      </c>
      <c r="G10" s="4">
        <f t="shared" si="5"/>
        <v>10.4</v>
      </c>
      <c r="H10" s="4">
        <f t="shared" si="6"/>
        <v>-10.4</v>
      </c>
      <c r="I10" s="5">
        <f t="shared" si="7"/>
        <v>0.20799999999999999</v>
      </c>
      <c r="J10" s="6">
        <f t="shared" si="8"/>
        <v>-0.20799999999999999</v>
      </c>
    </row>
    <row r="11" spans="1:10" x14ac:dyDescent="0.3">
      <c r="A11" s="2">
        <v>3</v>
      </c>
      <c r="B11" s="2">
        <f t="shared" si="0"/>
        <v>0.6</v>
      </c>
      <c r="C11" s="13">
        <f t="shared" si="1"/>
        <v>1.2716339999999999</v>
      </c>
      <c r="D11" s="13">
        <f t="shared" si="2"/>
        <v>1271.634</v>
      </c>
      <c r="E11" s="2">
        <f t="shared" si="3"/>
        <v>4.24E-2</v>
      </c>
      <c r="F11" s="2">
        <f t="shared" si="4"/>
        <v>-4.24E-2</v>
      </c>
      <c r="G11" s="4">
        <f t="shared" si="5"/>
        <v>7.0666666666666673</v>
      </c>
      <c r="H11" s="4">
        <f t="shared" si="6"/>
        <v>-7.0666666666666673</v>
      </c>
      <c r="I11" s="5">
        <f t="shared" si="7"/>
        <v>0.21199999999999999</v>
      </c>
      <c r="J11" s="6">
        <f t="shared" si="8"/>
        <v>-0.21199999999999999</v>
      </c>
    </row>
    <row r="12" spans="1:10" x14ac:dyDescent="0.3">
      <c r="A12" s="2">
        <v>4</v>
      </c>
      <c r="B12" s="2">
        <f t="shared" si="0"/>
        <v>0.8</v>
      </c>
      <c r="C12" s="13">
        <f t="shared" si="1"/>
        <v>1.6955120000000001</v>
      </c>
      <c r="D12" s="13">
        <f t="shared" si="2"/>
        <v>1695.5120000000002</v>
      </c>
      <c r="E12" s="2">
        <f t="shared" si="3"/>
        <v>4.3200000000000002E-2</v>
      </c>
      <c r="F12" s="2">
        <f t="shared" si="4"/>
        <v>-4.3200000000000002E-2</v>
      </c>
      <c r="G12" s="4">
        <f t="shared" si="5"/>
        <v>5.4</v>
      </c>
      <c r="H12" s="4">
        <f t="shared" si="6"/>
        <v>-5.4</v>
      </c>
      <c r="I12" s="5">
        <f t="shared" si="7"/>
        <v>0.216</v>
      </c>
      <c r="J12" s="6">
        <f t="shared" si="8"/>
        <v>-0.216</v>
      </c>
    </row>
    <row r="13" spans="1:10" x14ac:dyDescent="0.3">
      <c r="A13" s="2">
        <v>5</v>
      </c>
      <c r="B13" s="2">
        <f t="shared" si="0"/>
        <v>1</v>
      </c>
      <c r="C13" s="13">
        <f t="shared" si="1"/>
        <v>2.1193900000000001</v>
      </c>
      <c r="D13" s="13">
        <f t="shared" si="2"/>
        <v>2119.3900000000003</v>
      </c>
      <c r="E13" s="2">
        <f t="shared" si="3"/>
        <v>4.3999999999999997E-2</v>
      </c>
      <c r="F13" s="2">
        <f t="shared" si="4"/>
        <v>-4.3999999999999997E-2</v>
      </c>
      <c r="G13" s="4">
        <f t="shared" si="5"/>
        <v>4.3999999999999995</v>
      </c>
      <c r="H13" s="4">
        <f t="shared" si="6"/>
        <v>-4.3999999999999995</v>
      </c>
      <c r="I13" s="5">
        <f t="shared" si="7"/>
        <v>0.21999999999999997</v>
      </c>
      <c r="J13" s="6">
        <f t="shared" si="8"/>
        <v>-0.21999999999999997</v>
      </c>
    </row>
    <row r="14" spans="1:10" x14ac:dyDescent="0.3">
      <c r="A14" s="2">
        <v>6</v>
      </c>
      <c r="B14" s="2">
        <f t="shared" si="0"/>
        <v>1.2</v>
      </c>
      <c r="C14" s="13">
        <f t="shared" si="1"/>
        <v>2.5432679999999999</v>
      </c>
      <c r="D14" s="13">
        <f t="shared" si="2"/>
        <v>2543.268</v>
      </c>
      <c r="E14" s="2">
        <f t="shared" si="3"/>
        <v>4.48E-2</v>
      </c>
      <c r="F14" s="2">
        <f t="shared" si="4"/>
        <v>-4.48E-2</v>
      </c>
      <c r="G14" s="4">
        <f t="shared" si="5"/>
        <v>3.7333333333333338</v>
      </c>
      <c r="H14" s="4">
        <f t="shared" si="6"/>
        <v>-3.7333333333333338</v>
      </c>
      <c r="I14" s="5">
        <f t="shared" si="7"/>
        <v>0.22399999999999998</v>
      </c>
      <c r="J14" s="6">
        <f t="shared" si="8"/>
        <v>-0.22399999999999998</v>
      </c>
    </row>
    <row r="15" spans="1:10" x14ac:dyDescent="0.3">
      <c r="A15" s="2">
        <v>7</v>
      </c>
      <c r="B15" s="2">
        <f t="shared" si="0"/>
        <v>1.4</v>
      </c>
      <c r="C15" s="13">
        <f t="shared" si="1"/>
        <v>2.9671460000000001</v>
      </c>
      <c r="D15" s="13">
        <f t="shared" si="2"/>
        <v>2967.1460000000002</v>
      </c>
      <c r="E15" s="2">
        <f t="shared" si="3"/>
        <v>4.5600000000000002E-2</v>
      </c>
      <c r="F15" s="2">
        <f t="shared" si="4"/>
        <v>-4.5600000000000002E-2</v>
      </c>
      <c r="G15" s="4">
        <f>E15/B15*100</f>
        <v>3.2571428571428576</v>
      </c>
      <c r="H15" s="4">
        <f t="shared" si="6"/>
        <v>-3.2571428571428576</v>
      </c>
      <c r="I15" s="5">
        <f t="shared" si="7"/>
        <v>0.22799999999999998</v>
      </c>
      <c r="J15" s="6">
        <f t="shared" si="8"/>
        <v>-0.22799999999999998</v>
      </c>
    </row>
    <row r="16" spans="1:10" x14ac:dyDescent="0.3">
      <c r="A16" s="2">
        <v>8</v>
      </c>
      <c r="B16" s="2">
        <f t="shared" si="0"/>
        <v>1.6</v>
      </c>
      <c r="C16" s="13">
        <f t="shared" si="1"/>
        <v>3.3910240000000003</v>
      </c>
      <c r="D16" s="13">
        <f t="shared" si="2"/>
        <v>3391.0240000000003</v>
      </c>
      <c r="E16" s="2">
        <f t="shared" si="3"/>
        <v>4.6400000000000004E-2</v>
      </c>
      <c r="F16" s="2">
        <f t="shared" si="4"/>
        <v>-4.6400000000000004E-2</v>
      </c>
      <c r="G16" s="4">
        <f t="shared" si="5"/>
        <v>2.9000000000000004</v>
      </c>
      <c r="H16" s="4">
        <f t="shared" si="6"/>
        <v>-2.9000000000000004</v>
      </c>
      <c r="I16" s="5">
        <f t="shared" si="7"/>
        <v>0.23200000000000001</v>
      </c>
      <c r="J16" s="6">
        <f t="shared" si="8"/>
        <v>-0.23200000000000001</v>
      </c>
    </row>
    <row r="17" spans="1:10" x14ac:dyDescent="0.3">
      <c r="A17" s="2">
        <v>9</v>
      </c>
      <c r="B17" s="2">
        <f t="shared" si="0"/>
        <v>1.8</v>
      </c>
      <c r="C17" s="13">
        <f t="shared" si="1"/>
        <v>3.8149020000000005</v>
      </c>
      <c r="D17" s="13">
        <f t="shared" si="2"/>
        <v>3814.9020000000005</v>
      </c>
      <c r="E17" s="2">
        <f t="shared" si="3"/>
        <v>4.7199999999999999E-2</v>
      </c>
      <c r="F17" s="2">
        <f t="shared" si="4"/>
        <v>-4.7199999999999999E-2</v>
      </c>
      <c r="G17" s="4">
        <f t="shared" si="5"/>
        <v>2.6222222222222218</v>
      </c>
      <c r="H17" s="4">
        <f t="shared" si="6"/>
        <v>-2.6222222222222218</v>
      </c>
      <c r="I17" s="5">
        <f t="shared" si="7"/>
        <v>0.23600000000000002</v>
      </c>
      <c r="J17" s="6">
        <f t="shared" si="8"/>
        <v>-0.23600000000000002</v>
      </c>
    </row>
    <row r="18" spans="1:10" x14ac:dyDescent="0.3">
      <c r="A18" s="2">
        <v>10</v>
      </c>
      <c r="B18" s="2">
        <f t="shared" si="0"/>
        <v>2</v>
      </c>
      <c r="C18" s="13">
        <f t="shared" si="1"/>
        <v>4.2387800000000002</v>
      </c>
      <c r="D18" s="13">
        <f t="shared" si="2"/>
        <v>4238.7800000000007</v>
      </c>
      <c r="E18" s="2">
        <f t="shared" si="3"/>
        <v>4.8000000000000001E-2</v>
      </c>
      <c r="F18" s="2">
        <f t="shared" si="4"/>
        <v>-4.8000000000000001E-2</v>
      </c>
      <c r="G18" s="4">
        <f t="shared" si="5"/>
        <v>2.4</v>
      </c>
      <c r="H18" s="4">
        <f t="shared" si="6"/>
        <v>-2.4</v>
      </c>
      <c r="I18" s="5">
        <f t="shared" si="7"/>
        <v>0.24000000000000002</v>
      </c>
      <c r="J18" s="6">
        <f t="shared" si="8"/>
        <v>-0.24000000000000002</v>
      </c>
    </row>
    <row r="19" spans="1:10" x14ac:dyDescent="0.3">
      <c r="A19" s="2">
        <v>11</v>
      </c>
      <c r="B19" s="2">
        <f t="shared" si="0"/>
        <v>2.2000000000000002</v>
      </c>
      <c r="C19" s="13">
        <f t="shared" si="1"/>
        <v>4.6626580000000004</v>
      </c>
      <c r="D19" s="13">
        <f t="shared" si="2"/>
        <v>4662.6580000000004</v>
      </c>
      <c r="E19" s="2">
        <f t="shared" si="3"/>
        <v>4.8800000000000003E-2</v>
      </c>
      <c r="F19" s="2">
        <f t="shared" si="4"/>
        <v>-4.8800000000000003E-2</v>
      </c>
      <c r="G19" s="4">
        <f t="shared" si="5"/>
        <v>2.2181818181818183</v>
      </c>
      <c r="H19" s="4">
        <f t="shared" si="6"/>
        <v>-2.2181818181818183</v>
      </c>
      <c r="I19" s="5">
        <f t="shared" si="7"/>
        <v>0.24400000000000002</v>
      </c>
      <c r="J19" s="6">
        <f t="shared" si="8"/>
        <v>-0.24400000000000002</v>
      </c>
    </row>
    <row r="20" spans="1:10" x14ac:dyDescent="0.3">
      <c r="A20" s="2">
        <v>12</v>
      </c>
      <c r="B20" s="2">
        <f t="shared" si="0"/>
        <v>2.4</v>
      </c>
      <c r="C20" s="13">
        <f t="shared" si="1"/>
        <v>5.0865359999999997</v>
      </c>
      <c r="D20" s="13">
        <f t="shared" si="2"/>
        <v>5086.5360000000001</v>
      </c>
      <c r="E20" s="2">
        <f t="shared" si="3"/>
        <v>4.9599999999999998E-2</v>
      </c>
      <c r="F20" s="2">
        <f t="shared" si="4"/>
        <v>-4.9599999999999998E-2</v>
      </c>
      <c r="G20" s="4">
        <f t="shared" si="5"/>
        <v>2.0666666666666664</v>
      </c>
      <c r="H20" s="4">
        <f t="shared" si="6"/>
        <v>-2.0666666666666664</v>
      </c>
      <c r="I20" s="5">
        <f t="shared" si="7"/>
        <v>0.248</v>
      </c>
      <c r="J20" s="6">
        <f t="shared" si="8"/>
        <v>-0.248</v>
      </c>
    </row>
    <row r="21" spans="1:10" x14ac:dyDescent="0.3">
      <c r="A21" s="2">
        <v>13</v>
      </c>
      <c r="B21" s="2">
        <f t="shared" si="0"/>
        <v>2.6</v>
      </c>
      <c r="C21" s="13">
        <f t="shared" si="1"/>
        <v>5.5104140000000008</v>
      </c>
      <c r="D21" s="13">
        <f t="shared" si="2"/>
        <v>5510.4140000000007</v>
      </c>
      <c r="E21" s="2">
        <f t="shared" si="3"/>
        <v>5.04E-2</v>
      </c>
      <c r="F21" s="2">
        <f t="shared" si="4"/>
        <v>-5.04E-2</v>
      </c>
      <c r="G21" s="4">
        <f t="shared" si="5"/>
        <v>1.9384615384615385</v>
      </c>
      <c r="H21" s="4">
        <f t="shared" si="6"/>
        <v>-1.9384615384615385</v>
      </c>
      <c r="I21" s="5">
        <f t="shared" si="7"/>
        <v>0.252</v>
      </c>
      <c r="J21" s="6">
        <f t="shared" si="8"/>
        <v>-0.252</v>
      </c>
    </row>
    <row r="22" spans="1:10" x14ac:dyDescent="0.3">
      <c r="A22" s="2">
        <v>14</v>
      </c>
      <c r="B22" s="2">
        <f t="shared" si="0"/>
        <v>2.8</v>
      </c>
      <c r="C22" s="13">
        <f t="shared" si="1"/>
        <v>5.9342920000000001</v>
      </c>
      <c r="D22" s="13">
        <f t="shared" si="2"/>
        <v>5934.2920000000004</v>
      </c>
      <c r="E22" s="2">
        <f t="shared" si="3"/>
        <v>5.1199999999999996E-2</v>
      </c>
      <c r="F22" s="2">
        <f t="shared" si="4"/>
        <v>-5.1199999999999996E-2</v>
      </c>
      <c r="G22" s="4">
        <f t="shared" si="5"/>
        <v>1.8285714285714283</v>
      </c>
      <c r="H22" s="4">
        <f t="shared" si="6"/>
        <v>-1.8285714285714283</v>
      </c>
      <c r="I22" s="5">
        <f t="shared" si="7"/>
        <v>0.25600000000000001</v>
      </c>
      <c r="J22" s="6">
        <f t="shared" si="8"/>
        <v>-0.25600000000000001</v>
      </c>
    </row>
    <row r="23" spans="1:10" x14ac:dyDescent="0.3">
      <c r="A23" s="2">
        <v>15</v>
      </c>
      <c r="B23" s="2">
        <f t="shared" si="0"/>
        <v>3</v>
      </c>
      <c r="C23" s="13">
        <f t="shared" si="1"/>
        <v>6.3581700000000003</v>
      </c>
      <c r="D23" s="13">
        <f t="shared" si="2"/>
        <v>6358.17</v>
      </c>
      <c r="E23" s="2">
        <f t="shared" si="3"/>
        <v>5.2000000000000005E-2</v>
      </c>
      <c r="F23" s="2">
        <f t="shared" si="4"/>
        <v>-5.2000000000000005E-2</v>
      </c>
      <c r="G23" s="4">
        <f t="shared" si="5"/>
        <v>1.7333333333333336</v>
      </c>
      <c r="H23" s="4">
        <f t="shared" si="6"/>
        <v>-1.7333333333333336</v>
      </c>
      <c r="I23" s="5">
        <f t="shared" si="7"/>
        <v>0.26</v>
      </c>
      <c r="J23" s="6">
        <f t="shared" si="8"/>
        <v>-0.26</v>
      </c>
    </row>
    <row r="24" spans="1:10" x14ac:dyDescent="0.3">
      <c r="A24" s="2">
        <v>16</v>
      </c>
      <c r="B24" s="2">
        <f t="shared" si="0"/>
        <v>3.2</v>
      </c>
      <c r="C24" s="13">
        <f t="shared" si="1"/>
        <v>6.7820480000000005</v>
      </c>
      <c r="D24" s="13">
        <f t="shared" si="2"/>
        <v>6782.0480000000007</v>
      </c>
      <c r="E24" s="2">
        <f t="shared" si="3"/>
        <v>5.28E-2</v>
      </c>
      <c r="F24" s="2">
        <f t="shared" si="4"/>
        <v>-5.28E-2</v>
      </c>
      <c r="G24" s="4">
        <f t="shared" si="5"/>
        <v>1.6499999999999997</v>
      </c>
      <c r="H24" s="4">
        <f t="shared" si="6"/>
        <v>-1.6499999999999997</v>
      </c>
      <c r="I24" s="5">
        <f t="shared" si="7"/>
        <v>0.26400000000000001</v>
      </c>
      <c r="J24" s="6">
        <f t="shared" si="8"/>
        <v>-0.26400000000000001</v>
      </c>
    </row>
    <row r="25" spans="1:10" x14ac:dyDescent="0.3">
      <c r="A25" s="2">
        <v>17</v>
      </c>
      <c r="B25" s="2">
        <f t="shared" si="0"/>
        <v>3.4</v>
      </c>
      <c r="C25" s="13">
        <f t="shared" si="1"/>
        <v>7.2059259999999998</v>
      </c>
      <c r="D25" s="13">
        <f t="shared" si="2"/>
        <v>7205.9259999999995</v>
      </c>
      <c r="E25" s="2">
        <f t="shared" si="3"/>
        <v>5.3600000000000002E-2</v>
      </c>
      <c r="F25" s="2">
        <f t="shared" si="4"/>
        <v>-5.3600000000000002E-2</v>
      </c>
      <c r="G25" s="4">
        <f t="shared" si="5"/>
        <v>1.5764705882352941</v>
      </c>
      <c r="H25" s="4">
        <f t="shared" si="6"/>
        <v>-1.5764705882352941</v>
      </c>
      <c r="I25" s="5">
        <f t="shared" si="7"/>
        <v>0.26800000000000002</v>
      </c>
      <c r="J25" s="6">
        <f t="shared" si="8"/>
        <v>-0.26800000000000002</v>
      </c>
    </row>
    <row r="26" spans="1:10" x14ac:dyDescent="0.3">
      <c r="A26" s="2">
        <v>18</v>
      </c>
      <c r="B26" s="2">
        <f t="shared" si="0"/>
        <v>3.6</v>
      </c>
      <c r="C26" s="13">
        <f t="shared" si="1"/>
        <v>7.6298040000000009</v>
      </c>
      <c r="D26" s="13">
        <f t="shared" si="2"/>
        <v>7629.804000000001</v>
      </c>
      <c r="E26" s="2">
        <f t="shared" si="3"/>
        <v>5.4400000000000004E-2</v>
      </c>
      <c r="F26" s="2">
        <f t="shared" si="4"/>
        <v>-5.4400000000000004E-2</v>
      </c>
      <c r="G26" s="4">
        <f t="shared" si="5"/>
        <v>1.5111111111111111</v>
      </c>
      <c r="H26" s="4">
        <f t="shared" si="6"/>
        <v>-1.5111111111111111</v>
      </c>
      <c r="I26" s="5">
        <f t="shared" si="7"/>
        <v>0.27200000000000002</v>
      </c>
      <c r="J26" s="6">
        <f t="shared" si="8"/>
        <v>-0.27200000000000002</v>
      </c>
    </row>
    <row r="27" spans="1:10" x14ac:dyDescent="0.3">
      <c r="A27" s="2">
        <v>19</v>
      </c>
      <c r="B27" s="2">
        <f t="shared" si="0"/>
        <v>3.8</v>
      </c>
      <c r="C27" s="13">
        <f t="shared" si="1"/>
        <v>8.0536820000000002</v>
      </c>
      <c r="D27" s="13">
        <f t="shared" si="2"/>
        <v>8053.6819999999998</v>
      </c>
      <c r="E27" s="2">
        <f t="shared" si="3"/>
        <v>5.5199999999999999E-2</v>
      </c>
      <c r="F27" s="2">
        <f t="shared" si="4"/>
        <v>-5.5199999999999999E-2</v>
      </c>
      <c r="G27" s="4">
        <f t="shared" si="5"/>
        <v>1.4526315789473685</v>
      </c>
      <c r="H27" s="4">
        <f t="shared" si="6"/>
        <v>-1.4526315789473685</v>
      </c>
      <c r="I27" s="5">
        <f t="shared" si="7"/>
        <v>0.27599999999999997</v>
      </c>
      <c r="J27" s="6">
        <f t="shared" si="8"/>
        <v>-0.27599999999999997</v>
      </c>
    </row>
    <row r="28" spans="1:10" x14ac:dyDescent="0.3">
      <c r="A28" s="2">
        <v>20</v>
      </c>
      <c r="B28" s="2">
        <f t="shared" si="0"/>
        <v>4</v>
      </c>
      <c r="C28" s="13">
        <f t="shared" si="1"/>
        <v>8.4775600000000004</v>
      </c>
      <c r="D28" s="13">
        <f t="shared" si="2"/>
        <v>8477.5600000000013</v>
      </c>
      <c r="E28" s="2">
        <f t="shared" si="3"/>
        <v>5.6000000000000001E-2</v>
      </c>
      <c r="F28" s="2">
        <f t="shared" si="4"/>
        <v>-5.6000000000000001E-2</v>
      </c>
      <c r="G28" s="4">
        <f t="shared" si="5"/>
        <v>1.4000000000000001</v>
      </c>
      <c r="H28" s="4">
        <f t="shared" si="6"/>
        <v>-1.4000000000000001</v>
      </c>
      <c r="I28" s="5">
        <f t="shared" si="7"/>
        <v>0.27999999999999997</v>
      </c>
      <c r="J28" s="6">
        <f t="shared" si="8"/>
        <v>-0.27999999999999997</v>
      </c>
    </row>
    <row r="29" spans="1:10" x14ac:dyDescent="0.3">
      <c r="A29" s="2">
        <v>21</v>
      </c>
      <c r="B29" s="2">
        <f t="shared" si="0"/>
        <v>4.2</v>
      </c>
      <c r="C29" s="13">
        <f t="shared" si="1"/>
        <v>8.9014380000000006</v>
      </c>
      <c r="D29" s="13">
        <f t="shared" si="2"/>
        <v>8901.4380000000001</v>
      </c>
      <c r="E29" s="2">
        <f t="shared" si="3"/>
        <v>5.6800000000000003E-2</v>
      </c>
      <c r="F29" s="2">
        <f t="shared" si="4"/>
        <v>-5.6800000000000003E-2</v>
      </c>
      <c r="G29" s="4">
        <f t="shared" si="5"/>
        <v>1.3523809523809525</v>
      </c>
      <c r="H29" s="4">
        <f t="shared" si="6"/>
        <v>-1.3523809523809525</v>
      </c>
      <c r="I29" s="5">
        <f t="shared" si="7"/>
        <v>0.28400000000000003</v>
      </c>
      <c r="J29" s="6">
        <f t="shared" si="8"/>
        <v>-0.28400000000000003</v>
      </c>
    </row>
    <row r="30" spans="1:10" x14ac:dyDescent="0.3">
      <c r="A30" s="2">
        <v>22</v>
      </c>
      <c r="B30" s="2">
        <f t="shared" si="0"/>
        <v>4.4000000000000004</v>
      </c>
      <c r="C30" s="13">
        <f t="shared" si="1"/>
        <v>9.3253160000000008</v>
      </c>
      <c r="D30" s="13">
        <f t="shared" si="2"/>
        <v>9325.3160000000007</v>
      </c>
      <c r="E30" s="2">
        <f t="shared" si="3"/>
        <v>5.7599999999999998E-2</v>
      </c>
      <c r="F30" s="2">
        <f t="shared" si="4"/>
        <v>-5.7599999999999998E-2</v>
      </c>
      <c r="G30" s="4">
        <f t="shared" si="5"/>
        <v>1.3090909090909089</v>
      </c>
      <c r="H30" s="4">
        <f t="shared" si="6"/>
        <v>-1.3090909090909089</v>
      </c>
      <c r="I30" s="5">
        <f t="shared" si="7"/>
        <v>0.28799999999999998</v>
      </c>
      <c r="J30" s="6">
        <f t="shared" si="8"/>
        <v>-0.28799999999999998</v>
      </c>
    </row>
    <row r="31" spans="1:10" x14ac:dyDescent="0.3">
      <c r="A31" s="2">
        <v>23</v>
      </c>
      <c r="B31" s="2">
        <f t="shared" si="0"/>
        <v>4.5999999999999996</v>
      </c>
      <c r="C31" s="13">
        <f t="shared" si="1"/>
        <v>9.7491939999999992</v>
      </c>
      <c r="D31" s="13">
        <f t="shared" si="2"/>
        <v>9749.1939999999995</v>
      </c>
      <c r="E31" s="2">
        <f t="shared" si="3"/>
        <v>5.8400000000000001E-2</v>
      </c>
      <c r="F31" s="2">
        <f t="shared" si="4"/>
        <v>-5.8400000000000001E-2</v>
      </c>
      <c r="G31" s="4">
        <f t="shared" si="5"/>
        <v>1.2695652173913046</v>
      </c>
      <c r="H31" s="4">
        <f t="shared" si="6"/>
        <v>-1.2695652173913046</v>
      </c>
      <c r="I31" s="5">
        <f t="shared" si="7"/>
        <v>0.29199999999999998</v>
      </c>
      <c r="J31" s="6">
        <f t="shared" si="8"/>
        <v>-0.29199999999999998</v>
      </c>
    </row>
    <row r="32" spans="1:10" x14ac:dyDescent="0.3">
      <c r="A32" s="2">
        <v>24</v>
      </c>
      <c r="B32" s="2">
        <f t="shared" si="0"/>
        <v>4.8</v>
      </c>
      <c r="C32" s="13">
        <f t="shared" si="1"/>
        <v>10.173071999999999</v>
      </c>
      <c r="D32" s="13">
        <f t="shared" si="2"/>
        <v>10173.072</v>
      </c>
      <c r="E32" s="2">
        <f t="shared" si="3"/>
        <v>5.9200000000000003E-2</v>
      </c>
      <c r="F32" s="2">
        <f t="shared" si="4"/>
        <v>-5.9200000000000003E-2</v>
      </c>
      <c r="G32" s="4">
        <f t="shared" si="5"/>
        <v>1.2333333333333334</v>
      </c>
      <c r="H32" s="4">
        <f t="shared" si="6"/>
        <v>-1.2333333333333334</v>
      </c>
      <c r="I32" s="5">
        <f t="shared" si="7"/>
        <v>0.29599999999999999</v>
      </c>
      <c r="J32" s="6">
        <f t="shared" si="8"/>
        <v>-0.29599999999999999</v>
      </c>
    </row>
    <row r="33" spans="1:10" x14ac:dyDescent="0.3">
      <c r="A33" s="2">
        <v>25</v>
      </c>
      <c r="B33" s="2">
        <f t="shared" si="0"/>
        <v>5</v>
      </c>
      <c r="C33" s="13">
        <f t="shared" si="1"/>
        <v>10.59695</v>
      </c>
      <c r="D33" s="13">
        <f t="shared" si="2"/>
        <v>10596.949999999999</v>
      </c>
      <c r="E33" s="2">
        <f t="shared" si="3"/>
        <v>0.06</v>
      </c>
      <c r="F33" s="2">
        <f t="shared" si="4"/>
        <v>-0.06</v>
      </c>
      <c r="G33" s="4">
        <f t="shared" si="5"/>
        <v>1.2</v>
      </c>
      <c r="H33" s="4">
        <f t="shared" si="6"/>
        <v>-1.2</v>
      </c>
      <c r="I33" s="5">
        <f t="shared" si="7"/>
        <v>0.3</v>
      </c>
      <c r="J33" s="6">
        <f t="shared" si="8"/>
        <v>-0.3</v>
      </c>
    </row>
    <row r="34" spans="1:10" x14ac:dyDescent="0.3">
      <c r="A34" s="2">
        <v>26</v>
      </c>
      <c r="B34" s="2">
        <f t="shared" si="0"/>
        <v>5.2</v>
      </c>
      <c r="C34" s="13">
        <f t="shared" si="1"/>
        <v>11.020828000000002</v>
      </c>
      <c r="D34" s="13">
        <f t="shared" si="2"/>
        <v>11020.828000000001</v>
      </c>
      <c r="E34" s="2">
        <f t="shared" si="3"/>
        <v>6.08E-2</v>
      </c>
      <c r="F34" s="2">
        <f t="shared" si="4"/>
        <v>-6.08E-2</v>
      </c>
      <c r="G34" s="4">
        <f t="shared" si="5"/>
        <v>1.1692307692307691</v>
      </c>
      <c r="H34" s="4">
        <f t="shared" si="6"/>
        <v>-1.1692307692307691</v>
      </c>
      <c r="I34" s="5">
        <f t="shared" si="7"/>
        <v>0.30399999999999999</v>
      </c>
      <c r="J34" s="6">
        <f t="shared" si="8"/>
        <v>-0.30399999999999999</v>
      </c>
    </row>
    <row r="35" spans="1:10" x14ac:dyDescent="0.3">
      <c r="A35" s="2">
        <v>27</v>
      </c>
      <c r="B35" s="2">
        <f t="shared" si="0"/>
        <v>5.4</v>
      </c>
      <c r="C35" s="13">
        <f t="shared" si="1"/>
        <v>11.444706000000002</v>
      </c>
      <c r="D35" s="13">
        <f t="shared" si="2"/>
        <v>11444.706000000002</v>
      </c>
      <c r="E35" s="2">
        <f t="shared" si="3"/>
        <v>6.1600000000000002E-2</v>
      </c>
      <c r="F35" s="2">
        <f t="shared" si="4"/>
        <v>-6.1600000000000002E-2</v>
      </c>
      <c r="G35" s="4">
        <f t="shared" si="5"/>
        <v>1.1407407407407408</v>
      </c>
      <c r="H35" s="4">
        <f t="shared" si="6"/>
        <v>-1.1407407407407408</v>
      </c>
      <c r="I35" s="5">
        <f t="shared" si="7"/>
        <v>0.30800000000000005</v>
      </c>
      <c r="J35" s="6">
        <f t="shared" si="8"/>
        <v>-0.30800000000000005</v>
      </c>
    </row>
    <row r="36" spans="1:10" x14ac:dyDescent="0.3">
      <c r="A36" s="2">
        <v>28</v>
      </c>
      <c r="B36" s="2">
        <f t="shared" si="0"/>
        <v>5.6</v>
      </c>
      <c r="C36" s="13">
        <f t="shared" si="1"/>
        <v>11.868584</v>
      </c>
      <c r="D36" s="13">
        <f t="shared" si="2"/>
        <v>11868.584000000001</v>
      </c>
      <c r="E36" s="2">
        <f t="shared" si="3"/>
        <v>6.2399999999999997E-2</v>
      </c>
      <c r="F36" s="2">
        <f t="shared" si="4"/>
        <v>-6.2399999999999997E-2</v>
      </c>
      <c r="G36" s="4">
        <f t="shared" si="5"/>
        <v>1.1142857142857143</v>
      </c>
      <c r="H36" s="4">
        <f t="shared" si="6"/>
        <v>-1.1142857142857143</v>
      </c>
      <c r="I36" s="5">
        <f t="shared" si="7"/>
        <v>0.312</v>
      </c>
      <c r="J36" s="6">
        <f t="shared" si="8"/>
        <v>-0.312</v>
      </c>
    </row>
    <row r="37" spans="1:10" x14ac:dyDescent="0.3">
      <c r="A37" s="2">
        <v>29</v>
      </c>
      <c r="B37" s="2">
        <f t="shared" si="0"/>
        <v>5.8</v>
      </c>
      <c r="C37" s="13">
        <f t="shared" si="1"/>
        <v>12.292462</v>
      </c>
      <c r="D37" s="13">
        <f t="shared" si="2"/>
        <v>12292.462</v>
      </c>
      <c r="E37" s="2">
        <f t="shared" si="3"/>
        <v>6.3200000000000006E-2</v>
      </c>
      <c r="F37" s="2">
        <f t="shared" si="4"/>
        <v>-6.3200000000000006E-2</v>
      </c>
      <c r="G37" s="4">
        <f t="shared" si="5"/>
        <v>1.0896551724137933</v>
      </c>
      <c r="H37" s="4">
        <f t="shared" si="6"/>
        <v>-1.0896551724137933</v>
      </c>
      <c r="I37" s="5">
        <f t="shared" si="7"/>
        <v>0.31600000000000006</v>
      </c>
      <c r="J37" s="6">
        <f t="shared" si="8"/>
        <v>-0.31600000000000006</v>
      </c>
    </row>
    <row r="38" spans="1:10" x14ac:dyDescent="0.3">
      <c r="A38" s="2">
        <v>30</v>
      </c>
      <c r="B38" s="2">
        <f t="shared" si="0"/>
        <v>6</v>
      </c>
      <c r="C38" s="13">
        <f t="shared" si="1"/>
        <v>12.716340000000001</v>
      </c>
      <c r="D38" s="13">
        <f t="shared" si="2"/>
        <v>12716.34</v>
      </c>
      <c r="E38" s="2">
        <f t="shared" si="3"/>
        <v>6.4000000000000001E-2</v>
      </c>
      <c r="F38" s="2">
        <f t="shared" si="4"/>
        <v>-6.4000000000000001E-2</v>
      </c>
      <c r="G38" s="4">
        <f t="shared" si="5"/>
        <v>1.0666666666666667</v>
      </c>
      <c r="H38" s="4">
        <f t="shared" si="6"/>
        <v>-1.0666666666666667</v>
      </c>
      <c r="I38" s="5">
        <f t="shared" si="7"/>
        <v>0.32</v>
      </c>
      <c r="J38" s="6">
        <f t="shared" si="8"/>
        <v>-0.32</v>
      </c>
    </row>
    <row r="39" spans="1:10" x14ac:dyDescent="0.3">
      <c r="A39" s="2">
        <v>31</v>
      </c>
      <c r="B39" s="2">
        <f t="shared" si="0"/>
        <v>6.2</v>
      </c>
      <c r="C39" s="13">
        <f t="shared" si="1"/>
        <v>13.140218000000001</v>
      </c>
      <c r="D39" s="13">
        <f t="shared" si="2"/>
        <v>13140.218000000001</v>
      </c>
      <c r="E39" s="2">
        <f t="shared" si="3"/>
        <v>6.4799999999999996E-2</v>
      </c>
      <c r="F39" s="2">
        <f t="shared" si="4"/>
        <v>-6.4799999999999996E-2</v>
      </c>
      <c r="G39" s="4">
        <f>E39/B39*100</f>
        <v>1.0451612903225806</v>
      </c>
      <c r="H39" s="4">
        <f t="shared" si="6"/>
        <v>-1.0451612903225806</v>
      </c>
      <c r="I39" s="5">
        <f t="shared" si="7"/>
        <v>0.32399999999999995</v>
      </c>
      <c r="J39" s="6">
        <f t="shared" si="8"/>
        <v>-0.32399999999999995</v>
      </c>
    </row>
    <row r="40" spans="1:10" x14ac:dyDescent="0.3">
      <c r="A40" s="2">
        <v>32</v>
      </c>
      <c r="B40" s="2">
        <f t="shared" si="0"/>
        <v>6.4</v>
      </c>
      <c r="C40" s="13">
        <f t="shared" si="1"/>
        <v>13.564096000000001</v>
      </c>
      <c r="D40" s="13">
        <f t="shared" si="2"/>
        <v>13564.096000000001</v>
      </c>
      <c r="E40" s="2">
        <f t="shared" si="3"/>
        <v>6.5600000000000006E-2</v>
      </c>
      <c r="F40" s="2">
        <f t="shared" si="4"/>
        <v>-6.5600000000000006E-2</v>
      </c>
      <c r="G40" s="4">
        <f t="shared" si="5"/>
        <v>1.0250000000000001</v>
      </c>
      <c r="H40" s="4">
        <f t="shared" si="6"/>
        <v>-1.0250000000000001</v>
      </c>
      <c r="I40" s="5">
        <f t="shared" si="7"/>
        <v>0.32800000000000001</v>
      </c>
      <c r="J40" s="6">
        <f t="shared" si="8"/>
        <v>-0.32800000000000001</v>
      </c>
    </row>
    <row r="41" spans="1:10" x14ac:dyDescent="0.3">
      <c r="A41" s="2">
        <v>33</v>
      </c>
      <c r="B41" s="2">
        <f t="shared" si="0"/>
        <v>6.6</v>
      </c>
      <c r="C41" s="13">
        <f t="shared" si="1"/>
        <v>13.987973999999999</v>
      </c>
      <c r="D41" s="13">
        <f t="shared" si="2"/>
        <v>13987.974</v>
      </c>
      <c r="E41" s="2">
        <f t="shared" si="3"/>
        <v>6.6400000000000001E-2</v>
      </c>
      <c r="F41" s="2">
        <f t="shared" si="4"/>
        <v>-6.6400000000000001E-2</v>
      </c>
      <c r="G41" s="4">
        <f t="shared" si="5"/>
        <v>1.0060606060606061</v>
      </c>
      <c r="H41" s="4">
        <f t="shared" si="6"/>
        <v>-1.0060606060606061</v>
      </c>
      <c r="I41" s="5">
        <f t="shared" si="7"/>
        <v>0.33200000000000002</v>
      </c>
      <c r="J41" s="6">
        <f t="shared" si="8"/>
        <v>-0.33200000000000002</v>
      </c>
    </row>
    <row r="42" spans="1:10" x14ac:dyDescent="0.3">
      <c r="A42" s="2">
        <v>34</v>
      </c>
      <c r="B42" s="2">
        <f t="shared" si="0"/>
        <v>6.8</v>
      </c>
      <c r="C42" s="13">
        <f t="shared" si="1"/>
        <v>14.411852</v>
      </c>
      <c r="D42" s="13">
        <f t="shared" si="2"/>
        <v>14411.851999999999</v>
      </c>
      <c r="E42" s="2">
        <f t="shared" si="3"/>
        <v>6.720000000000001E-2</v>
      </c>
      <c r="F42" s="2">
        <f t="shared" si="4"/>
        <v>-6.720000000000001E-2</v>
      </c>
      <c r="G42" s="4">
        <f t="shared" si="5"/>
        <v>0.98823529411764721</v>
      </c>
      <c r="H42" s="4">
        <f t="shared" si="6"/>
        <v>-0.98823529411764721</v>
      </c>
      <c r="I42" s="5">
        <f t="shared" si="7"/>
        <v>0.33600000000000008</v>
      </c>
      <c r="J42" s="6">
        <f t="shared" si="8"/>
        <v>-0.33600000000000008</v>
      </c>
    </row>
    <row r="43" spans="1:10" x14ac:dyDescent="0.3">
      <c r="A43" s="2">
        <v>35</v>
      </c>
      <c r="B43" s="2">
        <f t="shared" si="0"/>
        <v>7</v>
      </c>
      <c r="C43" s="13">
        <f t="shared" si="1"/>
        <v>14.835730000000002</v>
      </c>
      <c r="D43" s="13">
        <f t="shared" si="2"/>
        <v>14835.730000000001</v>
      </c>
      <c r="E43" s="2">
        <f t="shared" si="3"/>
        <v>6.8000000000000005E-2</v>
      </c>
      <c r="F43" s="2">
        <f t="shared" si="4"/>
        <v>-6.8000000000000005E-2</v>
      </c>
      <c r="G43" s="4">
        <f t="shared" si="5"/>
        <v>0.97142857142857153</v>
      </c>
      <c r="H43" s="4">
        <f t="shared" si="6"/>
        <v>-0.97142857142857153</v>
      </c>
      <c r="I43" s="5">
        <f t="shared" si="7"/>
        <v>0.34</v>
      </c>
      <c r="J43" s="6">
        <f t="shared" si="8"/>
        <v>-0.34</v>
      </c>
    </row>
    <row r="44" spans="1:10" x14ac:dyDescent="0.3">
      <c r="A44" s="2">
        <v>36</v>
      </c>
      <c r="B44" s="2">
        <f t="shared" si="0"/>
        <v>7.2</v>
      </c>
      <c r="C44" s="13">
        <f t="shared" si="1"/>
        <v>15.259608000000002</v>
      </c>
      <c r="D44" s="13">
        <f t="shared" si="2"/>
        <v>15259.608000000002</v>
      </c>
      <c r="E44" s="2">
        <f t="shared" si="3"/>
        <v>6.88E-2</v>
      </c>
      <c r="F44" s="2">
        <f t="shared" si="4"/>
        <v>-6.88E-2</v>
      </c>
      <c r="G44" s="4">
        <f t="shared" si="5"/>
        <v>0.95555555555555549</v>
      </c>
      <c r="H44" s="4">
        <f t="shared" si="6"/>
        <v>-0.95555555555555549</v>
      </c>
      <c r="I44" s="5">
        <f t="shared" si="7"/>
        <v>0.34399999999999997</v>
      </c>
      <c r="J44" s="6">
        <f t="shared" si="8"/>
        <v>-0.34399999999999997</v>
      </c>
    </row>
    <row r="45" spans="1:10" x14ac:dyDescent="0.3">
      <c r="A45" s="2">
        <v>37</v>
      </c>
      <c r="B45" s="2">
        <f t="shared" si="0"/>
        <v>7.4</v>
      </c>
      <c r="C45" s="13">
        <f t="shared" si="1"/>
        <v>15.683486000000002</v>
      </c>
      <c r="D45" s="13">
        <f t="shared" si="2"/>
        <v>15683.486000000003</v>
      </c>
      <c r="E45" s="2">
        <f t="shared" si="3"/>
        <v>6.9600000000000009E-2</v>
      </c>
      <c r="F45" s="2">
        <f t="shared" si="4"/>
        <v>-6.9600000000000009E-2</v>
      </c>
      <c r="G45" s="4">
        <f t="shared" si="5"/>
        <v>0.94054054054054059</v>
      </c>
      <c r="H45" s="4">
        <f t="shared" si="6"/>
        <v>-0.94054054054054059</v>
      </c>
      <c r="I45" s="5">
        <f t="shared" si="7"/>
        <v>0.34800000000000003</v>
      </c>
      <c r="J45" s="6">
        <f t="shared" si="8"/>
        <v>-0.34800000000000003</v>
      </c>
    </row>
    <row r="46" spans="1:10" x14ac:dyDescent="0.3">
      <c r="A46" s="2">
        <v>38</v>
      </c>
      <c r="B46" s="2">
        <f t="shared" si="0"/>
        <v>7.6</v>
      </c>
      <c r="C46" s="13">
        <f t="shared" si="1"/>
        <v>16.107364</v>
      </c>
      <c r="D46" s="13">
        <f t="shared" si="2"/>
        <v>16107.364</v>
      </c>
      <c r="E46" s="2">
        <f t="shared" si="3"/>
        <v>7.0400000000000004E-2</v>
      </c>
      <c r="F46" s="2">
        <f t="shared" si="4"/>
        <v>-7.0400000000000004E-2</v>
      </c>
      <c r="G46" s="4">
        <f>E46/B46*100</f>
        <v>0.92631578947368431</v>
      </c>
      <c r="H46" s="4">
        <f t="shared" si="6"/>
        <v>-0.92631578947368431</v>
      </c>
      <c r="I46" s="5">
        <f t="shared" si="7"/>
        <v>0.35200000000000004</v>
      </c>
      <c r="J46" s="6">
        <f t="shared" si="8"/>
        <v>-0.35200000000000004</v>
      </c>
    </row>
    <row r="47" spans="1:10" x14ac:dyDescent="0.3">
      <c r="A47" s="2">
        <v>39</v>
      </c>
      <c r="B47" s="2">
        <f t="shared" si="0"/>
        <v>7.8</v>
      </c>
      <c r="C47" s="13">
        <f t="shared" si="1"/>
        <v>16.531241999999999</v>
      </c>
      <c r="D47" s="13">
        <f t="shared" si="2"/>
        <v>16531.241999999998</v>
      </c>
      <c r="E47" s="2">
        <f t="shared" si="3"/>
        <v>7.1199999999999999E-2</v>
      </c>
      <c r="F47" s="2">
        <f t="shared" si="4"/>
        <v>-7.1199999999999999E-2</v>
      </c>
      <c r="G47" s="4">
        <f t="shared" si="5"/>
        <v>0.91282051282051291</v>
      </c>
      <c r="H47" s="4">
        <f t="shared" si="6"/>
        <v>-0.91282051282051291</v>
      </c>
      <c r="I47" s="5">
        <f t="shared" si="7"/>
        <v>0.35599999999999998</v>
      </c>
      <c r="J47" s="6">
        <f t="shared" si="8"/>
        <v>-0.35599999999999998</v>
      </c>
    </row>
    <row r="48" spans="1:10" x14ac:dyDescent="0.3">
      <c r="A48" s="2">
        <v>40</v>
      </c>
      <c r="B48" s="2">
        <f t="shared" si="0"/>
        <v>8</v>
      </c>
      <c r="C48" s="13">
        <f t="shared" si="1"/>
        <v>16.955120000000001</v>
      </c>
      <c r="D48" s="13">
        <f t="shared" si="2"/>
        <v>16955.120000000003</v>
      </c>
      <c r="E48" s="2">
        <f t="shared" si="3"/>
        <v>7.2000000000000008E-2</v>
      </c>
      <c r="F48" s="2">
        <f t="shared" si="4"/>
        <v>-7.2000000000000008E-2</v>
      </c>
      <c r="G48" s="4">
        <f t="shared" si="5"/>
        <v>0.90000000000000013</v>
      </c>
      <c r="H48" s="4">
        <f t="shared" si="6"/>
        <v>-0.90000000000000013</v>
      </c>
      <c r="I48" s="5">
        <f t="shared" si="7"/>
        <v>0.36000000000000004</v>
      </c>
      <c r="J48" s="6">
        <f t="shared" si="8"/>
        <v>-0.36000000000000004</v>
      </c>
    </row>
    <row r="49" spans="1:10" x14ac:dyDescent="0.3">
      <c r="A49" s="2">
        <v>41</v>
      </c>
      <c r="B49" s="2">
        <f t="shared" si="0"/>
        <v>8.1999999999999993</v>
      </c>
      <c r="C49" s="13">
        <f t="shared" si="1"/>
        <v>17.378997999999999</v>
      </c>
      <c r="D49" s="13">
        <f t="shared" si="2"/>
        <v>17378.998</v>
      </c>
      <c r="E49" s="2">
        <f t="shared" si="3"/>
        <v>7.2800000000000004E-2</v>
      </c>
      <c r="F49" s="2">
        <f t="shared" si="4"/>
        <v>-7.2800000000000004E-2</v>
      </c>
      <c r="G49" s="4">
        <f t="shared" si="5"/>
        <v>0.88780487804878061</v>
      </c>
      <c r="H49" s="4">
        <f t="shared" si="6"/>
        <v>-0.88780487804878061</v>
      </c>
      <c r="I49" s="5">
        <f t="shared" si="7"/>
        <v>0.36399999999999999</v>
      </c>
      <c r="J49" s="6">
        <f t="shared" si="8"/>
        <v>-0.36399999999999999</v>
      </c>
    </row>
    <row r="50" spans="1:10" x14ac:dyDescent="0.3">
      <c r="A50" s="2">
        <v>42</v>
      </c>
      <c r="B50" s="2">
        <f t="shared" si="0"/>
        <v>8.4</v>
      </c>
      <c r="C50" s="13">
        <f t="shared" si="1"/>
        <v>17.802876000000001</v>
      </c>
      <c r="D50" s="13">
        <f t="shared" si="2"/>
        <v>17802.876</v>
      </c>
      <c r="E50" s="2">
        <f t="shared" si="3"/>
        <v>7.3599999999999999E-2</v>
      </c>
      <c r="F50" s="2">
        <f t="shared" si="4"/>
        <v>-7.3599999999999999E-2</v>
      </c>
      <c r="G50" s="4">
        <f t="shared" si="5"/>
        <v>0.87619047619047608</v>
      </c>
      <c r="H50" s="4">
        <f t="shared" si="6"/>
        <v>-0.87619047619047608</v>
      </c>
      <c r="I50" s="5">
        <f t="shared" si="7"/>
        <v>0.36799999999999999</v>
      </c>
      <c r="J50" s="6">
        <f t="shared" si="8"/>
        <v>-0.36799999999999999</v>
      </c>
    </row>
    <row r="51" spans="1:10" x14ac:dyDescent="0.3">
      <c r="A51" s="2">
        <v>43</v>
      </c>
      <c r="B51" s="2">
        <f t="shared" si="0"/>
        <v>8.6</v>
      </c>
      <c r="C51" s="13">
        <f t="shared" si="1"/>
        <v>18.226754</v>
      </c>
      <c r="D51" s="13">
        <f t="shared" si="2"/>
        <v>18226.754000000001</v>
      </c>
      <c r="E51" s="2">
        <f t="shared" si="3"/>
        <v>7.4399999999999994E-2</v>
      </c>
      <c r="F51" s="2">
        <f t="shared" si="4"/>
        <v>-7.4399999999999994E-2</v>
      </c>
      <c r="G51" s="4">
        <f t="shared" si="5"/>
        <v>0.8651162790697674</v>
      </c>
      <c r="H51" s="4">
        <f t="shared" si="6"/>
        <v>-0.8651162790697674</v>
      </c>
      <c r="I51" s="5">
        <f t="shared" si="7"/>
        <v>0.372</v>
      </c>
      <c r="J51" s="6">
        <f t="shared" si="8"/>
        <v>-0.372</v>
      </c>
    </row>
    <row r="52" spans="1:10" x14ac:dyDescent="0.3">
      <c r="A52" s="2">
        <v>44</v>
      </c>
      <c r="B52" s="2">
        <f t="shared" si="0"/>
        <v>8.8000000000000007</v>
      </c>
      <c r="C52" s="13">
        <f t="shared" si="1"/>
        <v>18.650632000000002</v>
      </c>
      <c r="D52" s="13">
        <f t="shared" si="2"/>
        <v>18650.632000000001</v>
      </c>
      <c r="E52" s="2">
        <f t="shared" si="3"/>
        <v>7.5200000000000003E-2</v>
      </c>
      <c r="F52" s="2">
        <f t="shared" si="4"/>
        <v>-7.5200000000000003E-2</v>
      </c>
      <c r="G52" s="4">
        <f t="shared" si="5"/>
        <v>0.8545454545454545</v>
      </c>
      <c r="H52" s="4">
        <f t="shared" si="6"/>
        <v>-0.8545454545454545</v>
      </c>
      <c r="I52" s="5">
        <f t="shared" si="7"/>
        <v>0.37600000000000006</v>
      </c>
      <c r="J52" s="6">
        <f t="shared" si="8"/>
        <v>-0.37600000000000006</v>
      </c>
    </row>
    <row r="53" spans="1:10" x14ac:dyDescent="0.3">
      <c r="A53" s="2">
        <v>45</v>
      </c>
      <c r="B53" s="2">
        <f t="shared" si="0"/>
        <v>9</v>
      </c>
      <c r="C53" s="13">
        <f t="shared" si="1"/>
        <v>19.07451</v>
      </c>
      <c r="D53" s="13">
        <f t="shared" si="2"/>
        <v>19074.509999999998</v>
      </c>
      <c r="E53" s="2">
        <f t="shared" si="3"/>
        <v>7.6000000000000012E-2</v>
      </c>
      <c r="F53" s="2">
        <f t="shared" si="4"/>
        <v>-7.6000000000000012E-2</v>
      </c>
      <c r="G53" s="4">
        <f t="shared" si="5"/>
        <v>0.84444444444444455</v>
      </c>
      <c r="H53" s="4">
        <f t="shared" si="6"/>
        <v>-0.84444444444444455</v>
      </c>
      <c r="I53" s="5">
        <f t="shared" si="7"/>
        <v>0.38000000000000006</v>
      </c>
      <c r="J53" s="6">
        <f t="shared" si="8"/>
        <v>-0.38000000000000006</v>
      </c>
    </row>
    <row r="54" spans="1:10" x14ac:dyDescent="0.3">
      <c r="A54" s="2">
        <v>46</v>
      </c>
      <c r="B54" s="2">
        <f t="shared" si="0"/>
        <v>9.1999999999999993</v>
      </c>
      <c r="C54" s="13">
        <f t="shared" si="1"/>
        <v>19.498387999999998</v>
      </c>
      <c r="D54" s="13">
        <f t="shared" si="2"/>
        <v>19498.387999999999</v>
      </c>
      <c r="E54" s="2">
        <f t="shared" si="3"/>
        <v>7.6800000000000007E-2</v>
      </c>
      <c r="F54" s="2">
        <f t="shared" si="4"/>
        <v>-7.6800000000000007E-2</v>
      </c>
      <c r="G54" s="4">
        <f t="shared" si="5"/>
        <v>0.83478260869565224</v>
      </c>
      <c r="H54" s="4">
        <f t="shared" si="6"/>
        <v>-0.83478260869565224</v>
      </c>
      <c r="I54" s="5">
        <f t="shared" si="7"/>
        <v>0.38400000000000006</v>
      </c>
      <c r="J54" s="6">
        <f t="shared" si="8"/>
        <v>-0.38400000000000006</v>
      </c>
    </row>
    <row r="55" spans="1:10" x14ac:dyDescent="0.3">
      <c r="A55" s="18">
        <v>47</v>
      </c>
      <c r="B55" s="18">
        <f t="shared" si="0"/>
        <v>9.4</v>
      </c>
      <c r="C55" s="19">
        <f t="shared" si="1"/>
        <v>19.922266</v>
      </c>
      <c r="D55" s="19">
        <f t="shared" si="2"/>
        <v>19922.266</v>
      </c>
      <c r="E55" s="18">
        <f t="shared" si="3"/>
        <v>7.7600000000000002E-2</v>
      </c>
      <c r="F55" s="18">
        <f t="shared" si="4"/>
        <v>-7.7600000000000002E-2</v>
      </c>
      <c r="G55" s="20">
        <f t="shared" si="5"/>
        <v>0.82553191489361699</v>
      </c>
      <c r="H55" s="20">
        <f t="shared" si="6"/>
        <v>-0.82553191489361699</v>
      </c>
      <c r="I55" s="21">
        <f t="shared" si="7"/>
        <v>0.38800000000000001</v>
      </c>
      <c r="J55" s="18">
        <f t="shared" si="8"/>
        <v>-0.38800000000000001</v>
      </c>
    </row>
    <row r="56" spans="1:10" x14ac:dyDescent="0.3">
      <c r="A56" s="18">
        <v>48</v>
      </c>
      <c r="B56" s="18">
        <f t="shared" si="0"/>
        <v>9.6</v>
      </c>
      <c r="C56" s="19">
        <f t="shared" si="1"/>
        <v>20.346143999999999</v>
      </c>
      <c r="D56" s="19">
        <f t="shared" si="2"/>
        <v>20346.144</v>
      </c>
      <c r="E56" s="18">
        <f t="shared" si="3"/>
        <v>7.8399999999999997E-2</v>
      </c>
      <c r="F56" s="18">
        <f t="shared" si="4"/>
        <v>-7.8399999999999997E-2</v>
      </c>
      <c r="G56" s="20">
        <f t="shared" si="5"/>
        <v>0.81666666666666676</v>
      </c>
      <c r="H56" s="20">
        <f t="shared" si="6"/>
        <v>-0.81666666666666676</v>
      </c>
      <c r="I56" s="21">
        <f t="shared" si="7"/>
        <v>0.39200000000000002</v>
      </c>
      <c r="J56" s="18">
        <f t="shared" si="8"/>
        <v>-0.39200000000000002</v>
      </c>
    </row>
    <row r="57" spans="1:10" x14ac:dyDescent="0.3">
      <c r="A57" s="18">
        <v>49</v>
      </c>
      <c r="B57" s="18">
        <f t="shared" si="0"/>
        <v>9.8000000000000007</v>
      </c>
      <c r="C57" s="19">
        <f t="shared" si="1"/>
        <v>20.770022000000001</v>
      </c>
      <c r="D57" s="19">
        <f t="shared" si="2"/>
        <v>20770.022000000001</v>
      </c>
      <c r="E57" s="18">
        <f t="shared" si="3"/>
        <v>7.9200000000000007E-2</v>
      </c>
      <c r="F57" s="18">
        <f t="shared" si="4"/>
        <v>-7.9200000000000007E-2</v>
      </c>
      <c r="G57" s="20">
        <f t="shared" si="5"/>
        <v>0.80816326530612248</v>
      </c>
      <c r="H57" s="20">
        <f t="shared" si="6"/>
        <v>-0.80816326530612248</v>
      </c>
      <c r="I57" s="21">
        <f t="shared" si="7"/>
        <v>0.39600000000000002</v>
      </c>
      <c r="J57" s="18">
        <f t="shared" si="8"/>
        <v>-0.39600000000000002</v>
      </c>
    </row>
    <row r="58" spans="1:10" x14ac:dyDescent="0.3">
      <c r="A58" s="18">
        <v>50</v>
      </c>
      <c r="B58" s="18">
        <f t="shared" si="0"/>
        <v>10</v>
      </c>
      <c r="C58" s="19">
        <f t="shared" si="1"/>
        <v>21.193899999999999</v>
      </c>
      <c r="D58" s="19">
        <f t="shared" si="2"/>
        <v>21193.899999999998</v>
      </c>
      <c r="E58" s="18">
        <f t="shared" si="3"/>
        <v>0.08</v>
      </c>
      <c r="F58" s="18">
        <f t="shared" si="4"/>
        <v>-0.08</v>
      </c>
      <c r="G58" s="20">
        <f t="shared" si="5"/>
        <v>0.8</v>
      </c>
      <c r="H58" s="20">
        <f t="shared" si="6"/>
        <v>-0.8</v>
      </c>
      <c r="I58" s="21">
        <f t="shared" si="7"/>
        <v>0.4</v>
      </c>
      <c r="J58" s="18">
        <f t="shared" si="8"/>
        <v>-0.4</v>
      </c>
    </row>
    <row r="59" spans="1:10" x14ac:dyDescent="0.3">
      <c r="A59" s="18">
        <v>51</v>
      </c>
      <c r="B59" s="18">
        <f t="shared" si="0"/>
        <v>10.199999999999999</v>
      </c>
      <c r="C59" s="19">
        <f t="shared" si="1"/>
        <v>21.617778000000001</v>
      </c>
      <c r="D59" s="19">
        <f t="shared" si="2"/>
        <v>21617.778000000002</v>
      </c>
      <c r="E59" s="18">
        <f t="shared" si="3"/>
        <v>8.0800000000000011E-2</v>
      </c>
      <c r="F59" s="18">
        <f t="shared" si="4"/>
        <v>-8.0800000000000011E-2</v>
      </c>
      <c r="G59" s="20">
        <f t="shared" si="5"/>
        <v>0.79215686274509822</v>
      </c>
      <c r="H59" s="20">
        <f t="shared" si="6"/>
        <v>-0.79215686274509822</v>
      </c>
      <c r="I59" s="21">
        <f t="shared" si="7"/>
        <v>0.40400000000000003</v>
      </c>
      <c r="J59" s="18">
        <f t="shared" si="8"/>
        <v>-0.40400000000000003</v>
      </c>
    </row>
    <row r="60" spans="1:10" x14ac:dyDescent="0.3">
      <c r="A60" s="18">
        <v>52</v>
      </c>
      <c r="B60" s="18">
        <f t="shared" si="0"/>
        <v>10.4</v>
      </c>
      <c r="C60" s="19">
        <f t="shared" si="1"/>
        <v>22.041656000000003</v>
      </c>
      <c r="D60" s="19">
        <f t="shared" si="2"/>
        <v>22041.656000000003</v>
      </c>
      <c r="E60" s="18">
        <f t="shared" si="3"/>
        <v>8.1600000000000006E-2</v>
      </c>
      <c r="F60" s="18">
        <f t="shared" si="4"/>
        <v>-8.1600000000000006E-2</v>
      </c>
      <c r="G60" s="20">
        <f t="shared" si="5"/>
        <v>0.7846153846153846</v>
      </c>
      <c r="H60" s="20">
        <f t="shared" si="6"/>
        <v>-0.7846153846153846</v>
      </c>
      <c r="I60" s="21">
        <f t="shared" si="7"/>
        <v>0.40800000000000003</v>
      </c>
      <c r="J60" s="18">
        <f t="shared" si="8"/>
        <v>-0.40800000000000003</v>
      </c>
    </row>
    <row r="61" spans="1:10" x14ac:dyDescent="0.3">
      <c r="A61" s="18">
        <v>53</v>
      </c>
      <c r="B61" s="18">
        <f t="shared" si="0"/>
        <v>10.6</v>
      </c>
      <c r="C61" s="19">
        <f t="shared" si="1"/>
        <v>22.465534000000002</v>
      </c>
      <c r="D61" s="19">
        <f t="shared" si="2"/>
        <v>22465.534000000003</v>
      </c>
      <c r="E61" s="18">
        <f t="shared" si="3"/>
        <v>8.2400000000000001E-2</v>
      </c>
      <c r="F61" s="18">
        <f t="shared" si="4"/>
        <v>-8.2400000000000001E-2</v>
      </c>
      <c r="G61" s="20">
        <f t="shared" si="5"/>
        <v>0.77735849056603779</v>
      </c>
      <c r="H61" s="20">
        <f t="shared" si="6"/>
        <v>-0.77735849056603779</v>
      </c>
      <c r="I61" s="21">
        <f t="shared" si="7"/>
        <v>0.41200000000000003</v>
      </c>
      <c r="J61" s="18">
        <f t="shared" si="8"/>
        <v>-0.41200000000000003</v>
      </c>
    </row>
    <row r="62" spans="1:10" x14ac:dyDescent="0.3">
      <c r="A62" s="18">
        <v>54</v>
      </c>
      <c r="B62" s="18">
        <f t="shared" si="0"/>
        <v>10.8</v>
      </c>
      <c r="C62" s="19">
        <f t="shared" si="1"/>
        <v>22.889412000000004</v>
      </c>
      <c r="D62" s="19">
        <f t="shared" si="2"/>
        <v>22889.412000000004</v>
      </c>
      <c r="E62" s="18">
        <f t="shared" si="3"/>
        <v>8.3199999999999996E-2</v>
      </c>
      <c r="F62" s="18">
        <f t="shared" si="4"/>
        <v>-8.3199999999999996E-2</v>
      </c>
      <c r="G62" s="20">
        <f t="shared" si="5"/>
        <v>0.77037037037037026</v>
      </c>
      <c r="H62" s="20">
        <f t="shared" si="6"/>
        <v>-0.77037037037037026</v>
      </c>
      <c r="I62" s="21">
        <f t="shared" si="7"/>
        <v>0.41599999999999998</v>
      </c>
      <c r="J62" s="18">
        <f t="shared" si="8"/>
        <v>-0.41599999999999998</v>
      </c>
    </row>
    <row r="63" spans="1:10" x14ac:dyDescent="0.3">
      <c r="A63" s="18">
        <v>55</v>
      </c>
      <c r="B63" s="18">
        <f t="shared" si="0"/>
        <v>11</v>
      </c>
      <c r="C63" s="19">
        <f t="shared" si="1"/>
        <v>23.313290000000002</v>
      </c>
      <c r="D63" s="19">
        <f t="shared" si="2"/>
        <v>23313.29</v>
      </c>
      <c r="E63" s="18">
        <f t="shared" si="3"/>
        <v>8.4000000000000005E-2</v>
      </c>
      <c r="F63" s="18">
        <f t="shared" si="4"/>
        <v>-8.4000000000000005E-2</v>
      </c>
      <c r="G63" s="20">
        <f>E63/B63*100</f>
        <v>0.76363636363636367</v>
      </c>
      <c r="H63" s="20">
        <f t="shared" si="6"/>
        <v>-0.76363636363636367</v>
      </c>
      <c r="I63" s="21">
        <f t="shared" si="7"/>
        <v>0.42000000000000004</v>
      </c>
      <c r="J63" s="18">
        <f t="shared" si="8"/>
        <v>-0.42000000000000004</v>
      </c>
    </row>
    <row r="64" spans="1:10" x14ac:dyDescent="0.3">
      <c r="A64" s="18">
        <v>56</v>
      </c>
      <c r="B64" s="18">
        <f t="shared" si="0"/>
        <v>11.2</v>
      </c>
      <c r="C64" s="19">
        <f t="shared" si="1"/>
        <v>23.737168</v>
      </c>
      <c r="D64" s="19">
        <f t="shared" si="2"/>
        <v>23737.168000000001</v>
      </c>
      <c r="E64" s="18">
        <f t="shared" si="3"/>
        <v>8.4799999999999986E-2</v>
      </c>
      <c r="F64" s="18">
        <f t="shared" si="4"/>
        <v>-8.4799999999999986E-2</v>
      </c>
      <c r="G64" s="20">
        <f t="shared" si="5"/>
        <v>0.75714285714285712</v>
      </c>
      <c r="H64" s="20">
        <f t="shared" si="6"/>
        <v>-0.75714285714285712</v>
      </c>
      <c r="I64" s="21">
        <f t="shared" si="7"/>
        <v>0.42399999999999988</v>
      </c>
      <c r="J64" s="18">
        <f t="shared" si="8"/>
        <v>-0.42399999999999988</v>
      </c>
    </row>
    <row r="65" spans="1:10" x14ac:dyDescent="0.3">
      <c r="A65" s="18">
        <v>57</v>
      </c>
      <c r="B65" s="18">
        <f t="shared" si="0"/>
        <v>11.4</v>
      </c>
      <c r="C65" s="19">
        <f t="shared" si="1"/>
        <v>24.161046000000002</v>
      </c>
      <c r="D65" s="19">
        <f t="shared" si="2"/>
        <v>24161.046000000002</v>
      </c>
      <c r="E65" s="18">
        <f t="shared" si="3"/>
        <v>8.5600000000000009E-2</v>
      </c>
      <c r="F65" s="18">
        <f t="shared" si="4"/>
        <v>-8.5600000000000009E-2</v>
      </c>
      <c r="G65" s="20">
        <f t="shared" si="5"/>
        <v>0.75087719298245625</v>
      </c>
      <c r="H65" s="20">
        <f t="shared" si="6"/>
        <v>-0.75087719298245625</v>
      </c>
      <c r="I65" s="21">
        <f t="shared" si="7"/>
        <v>0.4280000000000001</v>
      </c>
      <c r="J65" s="18">
        <f t="shared" si="8"/>
        <v>-0.4280000000000001</v>
      </c>
    </row>
    <row r="66" spans="1:10" x14ac:dyDescent="0.3">
      <c r="A66" s="18">
        <v>58</v>
      </c>
      <c r="B66" s="18">
        <f t="shared" si="0"/>
        <v>11.6</v>
      </c>
      <c r="C66" s="19">
        <f t="shared" si="1"/>
        <v>24.584924000000001</v>
      </c>
      <c r="D66" s="19">
        <f t="shared" si="2"/>
        <v>24584.923999999999</v>
      </c>
      <c r="E66" s="18">
        <f t="shared" si="3"/>
        <v>8.6400000000000005E-2</v>
      </c>
      <c r="F66" s="18">
        <f t="shared" si="4"/>
        <v>-8.6400000000000005E-2</v>
      </c>
      <c r="G66" s="20">
        <f t="shared" si="5"/>
        <v>0.7448275862068966</v>
      </c>
      <c r="H66" s="20">
        <f t="shared" si="6"/>
        <v>-0.7448275862068966</v>
      </c>
      <c r="I66" s="21">
        <f t="shared" si="7"/>
        <v>0.432</v>
      </c>
      <c r="J66" s="18">
        <f t="shared" si="8"/>
        <v>-0.432</v>
      </c>
    </row>
    <row r="67" spans="1:10" x14ac:dyDescent="0.3">
      <c r="A67" s="18">
        <v>59</v>
      </c>
      <c r="B67" s="18">
        <f t="shared" si="0"/>
        <v>11.8</v>
      </c>
      <c r="C67" s="19">
        <f t="shared" si="1"/>
        <v>25.008802000000003</v>
      </c>
      <c r="D67" s="19">
        <f t="shared" si="2"/>
        <v>25008.802000000003</v>
      </c>
      <c r="E67" s="18">
        <f t="shared" si="3"/>
        <v>8.72E-2</v>
      </c>
      <c r="F67" s="18">
        <f t="shared" si="4"/>
        <v>-8.72E-2</v>
      </c>
      <c r="G67" s="20">
        <f t="shared" si="5"/>
        <v>0.73898305084745763</v>
      </c>
      <c r="H67" s="20">
        <f t="shared" si="6"/>
        <v>-0.73898305084745763</v>
      </c>
      <c r="I67" s="21">
        <f t="shared" si="7"/>
        <v>0.436</v>
      </c>
      <c r="J67" s="18">
        <f t="shared" si="8"/>
        <v>-0.436</v>
      </c>
    </row>
    <row r="68" spans="1:10" x14ac:dyDescent="0.3">
      <c r="A68" s="18">
        <v>60</v>
      </c>
      <c r="B68" s="18">
        <f t="shared" si="0"/>
        <v>12</v>
      </c>
      <c r="C68" s="19">
        <f t="shared" si="1"/>
        <v>25.432680000000001</v>
      </c>
      <c r="D68" s="19">
        <f t="shared" si="2"/>
        <v>25432.68</v>
      </c>
      <c r="E68" s="18">
        <f t="shared" si="3"/>
        <v>8.8000000000000009E-2</v>
      </c>
      <c r="F68" s="18">
        <f t="shared" si="4"/>
        <v>-8.8000000000000009E-2</v>
      </c>
      <c r="G68" s="20">
        <f t="shared" si="5"/>
        <v>0.73333333333333339</v>
      </c>
      <c r="H68" s="20">
        <f t="shared" si="6"/>
        <v>-0.73333333333333339</v>
      </c>
      <c r="I68" s="21">
        <f t="shared" si="7"/>
        <v>0.44</v>
      </c>
      <c r="J68" s="18">
        <f t="shared" si="8"/>
        <v>-0.44</v>
      </c>
    </row>
    <row r="69" spans="1:10" x14ac:dyDescent="0.3">
      <c r="A69" s="18">
        <v>61</v>
      </c>
      <c r="B69" s="18">
        <f t="shared" si="0"/>
        <v>12.2</v>
      </c>
      <c r="C69" s="19">
        <f t="shared" si="1"/>
        <v>25.856558</v>
      </c>
      <c r="D69" s="19">
        <f t="shared" si="2"/>
        <v>25856.558000000001</v>
      </c>
      <c r="E69" s="18">
        <f t="shared" si="3"/>
        <v>8.879999999999999E-2</v>
      </c>
      <c r="F69" s="18">
        <f t="shared" si="4"/>
        <v>-8.879999999999999E-2</v>
      </c>
      <c r="G69" s="20">
        <f t="shared" si="5"/>
        <v>0.72786885245901634</v>
      </c>
      <c r="H69" s="20">
        <f t="shared" si="6"/>
        <v>-0.72786885245901634</v>
      </c>
      <c r="I69" s="21">
        <f t="shared" si="7"/>
        <v>0.44399999999999995</v>
      </c>
      <c r="J69" s="18">
        <f t="shared" si="8"/>
        <v>-0.44399999999999995</v>
      </c>
    </row>
    <row r="70" spans="1:10" x14ac:dyDescent="0.3">
      <c r="A70" s="18">
        <v>62</v>
      </c>
      <c r="B70" s="18">
        <f t="shared" si="0"/>
        <v>12.4</v>
      </c>
      <c r="C70" s="19">
        <f t="shared" si="1"/>
        <v>26.280436000000002</v>
      </c>
      <c r="D70" s="19">
        <f t="shared" si="2"/>
        <v>26280.436000000002</v>
      </c>
      <c r="E70" s="18">
        <f t="shared" si="3"/>
        <v>8.9600000000000013E-2</v>
      </c>
      <c r="F70" s="18">
        <f t="shared" si="4"/>
        <v>-8.9600000000000013E-2</v>
      </c>
      <c r="G70" s="20">
        <f>E70/B70*100</f>
        <v>0.72258064516129039</v>
      </c>
      <c r="H70" s="20">
        <f t="shared" si="6"/>
        <v>-0.72258064516129039</v>
      </c>
      <c r="I70" s="21">
        <f t="shared" si="7"/>
        <v>0.44800000000000006</v>
      </c>
      <c r="J70" s="18">
        <f t="shared" si="8"/>
        <v>-0.44800000000000006</v>
      </c>
    </row>
    <row r="71" spans="1:10" x14ac:dyDescent="0.3">
      <c r="A71" s="2">
        <v>63</v>
      </c>
      <c r="B71" s="2">
        <f t="shared" si="0"/>
        <v>12.6</v>
      </c>
      <c r="C71" s="13">
        <f t="shared" si="1"/>
        <v>26.704314</v>
      </c>
      <c r="D71" s="13">
        <f t="shared" si="2"/>
        <v>26704.313999999998</v>
      </c>
      <c r="E71" s="2">
        <f t="shared" si="3"/>
        <v>9.0400000000000008E-2</v>
      </c>
      <c r="F71" s="2">
        <f t="shared" si="4"/>
        <v>-9.0400000000000008E-2</v>
      </c>
      <c r="G71" s="4">
        <f t="shared" si="5"/>
        <v>0.71746031746031758</v>
      </c>
      <c r="H71" s="4">
        <f t="shared" si="6"/>
        <v>-0.71746031746031758</v>
      </c>
      <c r="I71" s="5">
        <f t="shared" si="7"/>
        <v>0.45200000000000007</v>
      </c>
      <c r="J71" s="6">
        <f t="shared" si="8"/>
        <v>-0.45200000000000007</v>
      </c>
    </row>
    <row r="72" spans="1:10" x14ac:dyDescent="0.3">
      <c r="A72" s="2">
        <v>64</v>
      </c>
      <c r="B72" s="2">
        <f t="shared" si="0"/>
        <v>12.8</v>
      </c>
      <c r="C72" s="13">
        <f t="shared" si="1"/>
        <v>27.128192000000002</v>
      </c>
      <c r="D72" s="13">
        <f t="shared" si="2"/>
        <v>27128.192000000003</v>
      </c>
      <c r="E72" s="2">
        <f t="shared" si="3"/>
        <v>9.1200000000000003E-2</v>
      </c>
      <c r="F72" s="2">
        <f t="shared" si="4"/>
        <v>-9.1200000000000003E-2</v>
      </c>
      <c r="G72" s="4">
        <f t="shared" si="5"/>
        <v>0.71250000000000002</v>
      </c>
      <c r="H72" s="4">
        <f t="shared" si="6"/>
        <v>-0.71250000000000002</v>
      </c>
      <c r="I72" s="5">
        <f t="shared" si="7"/>
        <v>0.45599999999999996</v>
      </c>
      <c r="J72" s="6">
        <f t="shared" si="8"/>
        <v>-0.45599999999999996</v>
      </c>
    </row>
    <row r="73" spans="1:10" x14ac:dyDescent="0.3">
      <c r="A73" s="2">
        <v>65</v>
      </c>
      <c r="B73" s="2">
        <f t="shared" ref="B73:B108" si="9">$B$2*A73/100</f>
        <v>13</v>
      </c>
      <c r="C73" s="13">
        <f t="shared" ref="C73:C108" si="10">B73*2.11939</f>
        <v>27.552070000000001</v>
      </c>
      <c r="D73" s="13">
        <f t="shared" ref="D73:D108" si="11">C73*$B$5</f>
        <v>27552.07</v>
      </c>
      <c r="E73" s="2">
        <f t="shared" ref="E73:E108" si="12">(B73*$B$3/100+$B$2*$B$4/100)</f>
        <v>9.1999999999999998E-2</v>
      </c>
      <c r="F73" s="2">
        <f t="shared" ref="F73:F108" si="13">E73*-1</f>
        <v>-9.1999999999999998E-2</v>
      </c>
      <c r="G73" s="4">
        <f t="shared" ref="G73:G108" si="14">E73/B73*100</f>
        <v>0.70769230769230773</v>
      </c>
      <c r="H73" s="4">
        <f t="shared" ref="H73:H108" si="15">F73/B73*100</f>
        <v>-0.70769230769230773</v>
      </c>
      <c r="I73" s="5">
        <f t="shared" ref="I73:I108" si="16">E73/$B$2*100</f>
        <v>0.45999999999999996</v>
      </c>
      <c r="J73" s="6">
        <f t="shared" ref="J73:J108" si="17">I73*-1</f>
        <v>-0.45999999999999996</v>
      </c>
    </row>
    <row r="74" spans="1:10" x14ac:dyDescent="0.3">
      <c r="A74" s="2">
        <v>66</v>
      </c>
      <c r="B74" s="2">
        <f t="shared" si="9"/>
        <v>13.2</v>
      </c>
      <c r="C74" s="13">
        <f t="shared" si="10"/>
        <v>27.975947999999999</v>
      </c>
      <c r="D74" s="13">
        <f t="shared" si="11"/>
        <v>27975.948</v>
      </c>
      <c r="E74" s="2">
        <f t="shared" si="12"/>
        <v>9.2799999999999994E-2</v>
      </c>
      <c r="F74" s="2">
        <f t="shared" si="13"/>
        <v>-9.2799999999999994E-2</v>
      </c>
      <c r="G74" s="4">
        <f t="shared" si="14"/>
        <v>0.70303030303030301</v>
      </c>
      <c r="H74" s="4">
        <f t="shared" si="15"/>
        <v>-0.70303030303030301</v>
      </c>
      <c r="I74" s="5">
        <f t="shared" si="16"/>
        <v>0.46400000000000002</v>
      </c>
      <c r="J74" s="6">
        <f t="shared" si="17"/>
        <v>-0.46400000000000002</v>
      </c>
    </row>
    <row r="75" spans="1:10" x14ac:dyDescent="0.3">
      <c r="A75" s="2">
        <v>67</v>
      </c>
      <c r="B75" s="2">
        <f t="shared" si="9"/>
        <v>13.4</v>
      </c>
      <c r="C75" s="13">
        <f t="shared" si="10"/>
        <v>28.399826000000001</v>
      </c>
      <c r="D75" s="13">
        <f t="shared" si="11"/>
        <v>28399.826000000001</v>
      </c>
      <c r="E75" s="2">
        <f t="shared" si="12"/>
        <v>9.3600000000000003E-2</v>
      </c>
      <c r="F75" s="2">
        <f t="shared" si="13"/>
        <v>-9.3600000000000003E-2</v>
      </c>
      <c r="G75" s="4">
        <f t="shared" si="14"/>
        <v>0.69850746268656716</v>
      </c>
      <c r="H75" s="4">
        <f t="shared" si="15"/>
        <v>-0.69850746268656716</v>
      </c>
      <c r="I75" s="5">
        <f t="shared" si="16"/>
        <v>0.46800000000000003</v>
      </c>
      <c r="J75" s="6">
        <f t="shared" si="17"/>
        <v>-0.46800000000000003</v>
      </c>
    </row>
    <row r="76" spans="1:10" x14ac:dyDescent="0.3">
      <c r="A76" s="2">
        <v>68</v>
      </c>
      <c r="B76" s="2">
        <f t="shared" si="9"/>
        <v>13.6</v>
      </c>
      <c r="C76" s="13">
        <f t="shared" si="10"/>
        <v>28.823703999999999</v>
      </c>
      <c r="D76" s="13">
        <f t="shared" si="11"/>
        <v>28823.703999999998</v>
      </c>
      <c r="E76" s="2">
        <f t="shared" si="12"/>
        <v>9.4400000000000012E-2</v>
      </c>
      <c r="F76" s="2">
        <f t="shared" si="13"/>
        <v>-9.4400000000000012E-2</v>
      </c>
      <c r="G76" s="4">
        <f t="shared" si="14"/>
        <v>0.69411764705882362</v>
      </c>
      <c r="H76" s="4">
        <f t="shared" si="15"/>
        <v>-0.69411764705882362</v>
      </c>
      <c r="I76" s="5">
        <f t="shared" si="16"/>
        <v>0.47200000000000003</v>
      </c>
      <c r="J76" s="6">
        <f t="shared" si="17"/>
        <v>-0.47200000000000003</v>
      </c>
    </row>
    <row r="77" spans="1:10" x14ac:dyDescent="0.3">
      <c r="A77" s="2">
        <v>69</v>
      </c>
      <c r="B77" s="2">
        <f t="shared" si="9"/>
        <v>13.8</v>
      </c>
      <c r="C77" s="13">
        <f t="shared" si="10"/>
        <v>29.247582000000001</v>
      </c>
      <c r="D77" s="13">
        <f t="shared" si="11"/>
        <v>29247.582000000002</v>
      </c>
      <c r="E77" s="2">
        <f t="shared" si="12"/>
        <v>9.5200000000000007E-2</v>
      </c>
      <c r="F77" s="2">
        <f t="shared" si="13"/>
        <v>-9.5200000000000007E-2</v>
      </c>
      <c r="G77" s="4">
        <f t="shared" si="14"/>
        <v>0.68985507246376809</v>
      </c>
      <c r="H77" s="4">
        <f t="shared" si="15"/>
        <v>-0.68985507246376809</v>
      </c>
      <c r="I77" s="5">
        <f t="shared" si="16"/>
        <v>0.47600000000000003</v>
      </c>
      <c r="J77" s="6">
        <f t="shared" si="17"/>
        <v>-0.47600000000000003</v>
      </c>
    </row>
    <row r="78" spans="1:10" x14ac:dyDescent="0.3">
      <c r="A78" s="2">
        <v>70</v>
      </c>
      <c r="B78" s="2">
        <f t="shared" si="9"/>
        <v>14</v>
      </c>
      <c r="C78" s="13">
        <f t="shared" si="10"/>
        <v>29.671460000000003</v>
      </c>
      <c r="D78" s="13">
        <f t="shared" si="11"/>
        <v>29671.460000000003</v>
      </c>
      <c r="E78" s="2">
        <f t="shared" si="12"/>
        <v>9.6000000000000002E-2</v>
      </c>
      <c r="F78" s="2">
        <f t="shared" si="13"/>
        <v>-9.6000000000000002E-2</v>
      </c>
      <c r="G78" s="4">
        <f t="shared" si="14"/>
        <v>0.68571428571428572</v>
      </c>
      <c r="H78" s="4">
        <f t="shared" si="15"/>
        <v>-0.68571428571428572</v>
      </c>
      <c r="I78" s="5">
        <f t="shared" si="16"/>
        <v>0.48000000000000004</v>
      </c>
      <c r="J78" s="6">
        <f t="shared" si="17"/>
        <v>-0.48000000000000004</v>
      </c>
    </row>
    <row r="79" spans="1:10" x14ac:dyDescent="0.3">
      <c r="A79" s="2">
        <v>71</v>
      </c>
      <c r="B79" s="2">
        <f t="shared" si="9"/>
        <v>14.2</v>
      </c>
      <c r="C79" s="13">
        <f t="shared" si="10"/>
        <v>30.095338000000002</v>
      </c>
      <c r="D79" s="13">
        <f t="shared" si="11"/>
        <v>30095.338000000003</v>
      </c>
      <c r="E79" s="2">
        <f t="shared" si="12"/>
        <v>9.6799999999999997E-2</v>
      </c>
      <c r="F79" s="2">
        <f t="shared" si="13"/>
        <v>-9.6799999999999997E-2</v>
      </c>
      <c r="G79" s="4">
        <f t="shared" si="14"/>
        <v>0.6816901408450704</v>
      </c>
      <c r="H79" s="4">
        <f t="shared" si="15"/>
        <v>-0.6816901408450704</v>
      </c>
      <c r="I79" s="5">
        <f t="shared" si="16"/>
        <v>0.48399999999999999</v>
      </c>
      <c r="J79" s="6">
        <f t="shared" si="17"/>
        <v>-0.48399999999999999</v>
      </c>
    </row>
    <row r="80" spans="1:10" x14ac:dyDescent="0.3">
      <c r="A80" s="2">
        <v>72</v>
      </c>
      <c r="B80" s="2">
        <f t="shared" si="9"/>
        <v>14.4</v>
      </c>
      <c r="C80" s="13">
        <f t="shared" si="10"/>
        <v>30.519216000000004</v>
      </c>
      <c r="D80" s="13">
        <f t="shared" si="11"/>
        <v>30519.216000000004</v>
      </c>
      <c r="E80" s="2">
        <f t="shared" si="12"/>
        <v>9.7600000000000006E-2</v>
      </c>
      <c r="F80" s="2">
        <f t="shared" si="13"/>
        <v>-9.7600000000000006E-2</v>
      </c>
      <c r="G80" s="4">
        <f t="shared" si="14"/>
        <v>0.67777777777777781</v>
      </c>
      <c r="H80" s="4">
        <f t="shared" si="15"/>
        <v>-0.67777777777777781</v>
      </c>
      <c r="I80" s="5">
        <f t="shared" si="16"/>
        <v>0.48800000000000004</v>
      </c>
      <c r="J80" s="6">
        <f t="shared" si="17"/>
        <v>-0.48800000000000004</v>
      </c>
    </row>
    <row r="81" spans="1:10" x14ac:dyDescent="0.3">
      <c r="A81" s="2">
        <v>73</v>
      </c>
      <c r="B81" s="2">
        <f t="shared" si="9"/>
        <v>14.6</v>
      </c>
      <c r="C81" s="13">
        <f t="shared" si="10"/>
        <v>30.943094000000002</v>
      </c>
      <c r="D81" s="13">
        <f t="shared" si="11"/>
        <v>30943.094000000001</v>
      </c>
      <c r="E81" s="2">
        <f t="shared" si="12"/>
        <v>9.8400000000000001E-2</v>
      </c>
      <c r="F81" s="2">
        <f t="shared" si="13"/>
        <v>-9.8400000000000001E-2</v>
      </c>
      <c r="G81" s="4">
        <f t="shared" si="14"/>
        <v>0.67397260273972603</v>
      </c>
      <c r="H81" s="4">
        <f t="shared" si="15"/>
        <v>-0.67397260273972603</v>
      </c>
      <c r="I81" s="5">
        <f t="shared" si="16"/>
        <v>0.49199999999999999</v>
      </c>
      <c r="J81" s="6">
        <f t="shared" si="17"/>
        <v>-0.49199999999999999</v>
      </c>
    </row>
    <row r="82" spans="1:10" x14ac:dyDescent="0.3">
      <c r="A82" s="2">
        <v>74</v>
      </c>
      <c r="B82" s="2">
        <f t="shared" si="9"/>
        <v>14.8</v>
      </c>
      <c r="C82" s="13">
        <f t="shared" si="10"/>
        <v>31.366972000000004</v>
      </c>
      <c r="D82" s="13">
        <f t="shared" si="11"/>
        <v>31366.972000000005</v>
      </c>
      <c r="E82" s="2">
        <f t="shared" si="12"/>
        <v>9.920000000000001E-2</v>
      </c>
      <c r="F82" s="2">
        <f t="shared" si="13"/>
        <v>-9.920000000000001E-2</v>
      </c>
      <c r="G82" s="4">
        <f t="shared" si="14"/>
        <v>0.67027027027027031</v>
      </c>
      <c r="H82" s="4">
        <f t="shared" si="15"/>
        <v>-0.67027027027027031</v>
      </c>
      <c r="I82" s="5">
        <f t="shared" si="16"/>
        <v>0.49600000000000011</v>
      </c>
      <c r="J82" s="6">
        <f t="shared" si="17"/>
        <v>-0.49600000000000011</v>
      </c>
    </row>
    <row r="83" spans="1:10" x14ac:dyDescent="0.3">
      <c r="A83" s="16">
        <v>75</v>
      </c>
      <c r="B83" s="16">
        <f t="shared" si="9"/>
        <v>15</v>
      </c>
      <c r="C83" s="17">
        <f t="shared" si="10"/>
        <v>31.790850000000002</v>
      </c>
      <c r="D83" s="17">
        <f t="shared" si="11"/>
        <v>31790.850000000002</v>
      </c>
      <c r="E83" s="16">
        <f t="shared" si="12"/>
        <v>0.1</v>
      </c>
      <c r="F83" s="7">
        <f t="shared" si="13"/>
        <v>-0.1</v>
      </c>
      <c r="G83" s="8">
        <f t="shared" si="14"/>
        <v>0.66666666666666674</v>
      </c>
      <c r="H83" s="8">
        <f t="shared" si="15"/>
        <v>-0.66666666666666674</v>
      </c>
      <c r="I83" s="9">
        <f t="shared" si="16"/>
        <v>0.5</v>
      </c>
      <c r="J83" s="7">
        <f t="shared" si="17"/>
        <v>-0.5</v>
      </c>
    </row>
    <row r="84" spans="1:10" x14ac:dyDescent="0.3">
      <c r="A84" s="2">
        <v>76</v>
      </c>
      <c r="B84" s="2">
        <f t="shared" si="9"/>
        <v>15.2</v>
      </c>
      <c r="C84" s="13">
        <f t="shared" si="10"/>
        <v>32.214728000000001</v>
      </c>
      <c r="D84" s="13">
        <f t="shared" si="11"/>
        <v>32214.727999999999</v>
      </c>
      <c r="E84" s="2">
        <f t="shared" si="12"/>
        <v>0.1008</v>
      </c>
      <c r="F84" s="2">
        <f t="shared" si="13"/>
        <v>-0.1008</v>
      </c>
      <c r="G84" s="4">
        <f t="shared" si="14"/>
        <v>0.66315789473684217</v>
      </c>
      <c r="H84" s="4">
        <f t="shared" si="15"/>
        <v>-0.66315789473684217</v>
      </c>
      <c r="I84" s="5">
        <f t="shared" si="16"/>
        <v>0.504</v>
      </c>
      <c r="J84" s="6">
        <f t="shared" si="17"/>
        <v>-0.504</v>
      </c>
    </row>
    <row r="85" spans="1:10" x14ac:dyDescent="0.3">
      <c r="A85" s="2">
        <v>77</v>
      </c>
      <c r="B85" s="2">
        <f t="shared" si="9"/>
        <v>15.4</v>
      </c>
      <c r="C85" s="13">
        <f t="shared" si="10"/>
        <v>32.638606000000003</v>
      </c>
      <c r="D85" s="13">
        <f t="shared" si="11"/>
        <v>32638.606000000003</v>
      </c>
      <c r="E85" s="2">
        <f t="shared" si="12"/>
        <v>0.1016</v>
      </c>
      <c r="F85" s="2">
        <f t="shared" si="13"/>
        <v>-0.1016</v>
      </c>
      <c r="G85" s="4">
        <f t="shared" si="14"/>
        <v>0.65974025974025963</v>
      </c>
      <c r="H85" s="4">
        <f t="shared" si="15"/>
        <v>-0.65974025974025963</v>
      </c>
      <c r="I85" s="5">
        <f t="shared" si="16"/>
        <v>0.5079999999999999</v>
      </c>
      <c r="J85" s="6">
        <f t="shared" si="17"/>
        <v>-0.5079999999999999</v>
      </c>
    </row>
    <row r="86" spans="1:10" x14ac:dyDescent="0.3">
      <c r="A86" s="2">
        <v>78</v>
      </c>
      <c r="B86" s="2">
        <f t="shared" si="9"/>
        <v>15.6</v>
      </c>
      <c r="C86" s="13">
        <f t="shared" si="10"/>
        <v>33.062483999999998</v>
      </c>
      <c r="D86" s="13">
        <f t="shared" si="11"/>
        <v>33062.483999999997</v>
      </c>
      <c r="E86" s="2">
        <f t="shared" si="12"/>
        <v>0.1024</v>
      </c>
      <c r="F86" s="2">
        <f t="shared" si="13"/>
        <v>-0.1024</v>
      </c>
      <c r="G86" s="4">
        <f t="shared" si="14"/>
        <v>0.65641025641025641</v>
      </c>
      <c r="H86" s="4">
        <f t="shared" si="15"/>
        <v>-0.65641025641025641</v>
      </c>
      <c r="I86" s="5">
        <f t="shared" si="16"/>
        <v>0.51200000000000001</v>
      </c>
      <c r="J86" s="6">
        <f t="shared" si="17"/>
        <v>-0.51200000000000001</v>
      </c>
    </row>
    <row r="87" spans="1:10" x14ac:dyDescent="0.3">
      <c r="A87" s="2">
        <v>79</v>
      </c>
      <c r="B87" s="2">
        <f t="shared" si="9"/>
        <v>15.8</v>
      </c>
      <c r="C87" s="13">
        <f t="shared" si="10"/>
        <v>33.486362</v>
      </c>
      <c r="D87" s="13">
        <f t="shared" si="11"/>
        <v>33486.362000000001</v>
      </c>
      <c r="E87" s="2">
        <f t="shared" si="12"/>
        <v>0.10320000000000001</v>
      </c>
      <c r="F87" s="2">
        <f t="shared" si="13"/>
        <v>-0.10320000000000001</v>
      </c>
      <c r="G87" s="4">
        <f t="shared" si="14"/>
        <v>0.65316455696202536</v>
      </c>
      <c r="H87" s="4">
        <f t="shared" si="15"/>
        <v>-0.65316455696202536</v>
      </c>
      <c r="I87" s="5">
        <f t="shared" si="16"/>
        <v>0.51600000000000001</v>
      </c>
      <c r="J87" s="6">
        <f t="shared" si="17"/>
        <v>-0.51600000000000001</v>
      </c>
    </row>
    <row r="88" spans="1:10" x14ac:dyDescent="0.3">
      <c r="A88" s="2">
        <v>80</v>
      </c>
      <c r="B88" s="2">
        <f t="shared" si="9"/>
        <v>16</v>
      </c>
      <c r="C88" s="13">
        <f t="shared" si="10"/>
        <v>33.910240000000002</v>
      </c>
      <c r="D88" s="13">
        <f t="shared" si="11"/>
        <v>33910.240000000005</v>
      </c>
      <c r="E88" s="2">
        <f t="shared" si="12"/>
        <v>0.10400000000000001</v>
      </c>
      <c r="F88" s="2">
        <f t="shared" si="13"/>
        <v>-0.10400000000000001</v>
      </c>
      <c r="G88" s="4">
        <f t="shared" si="14"/>
        <v>0.65</v>
      </c>
      <c r="H88" s="4">
        <f t="shared" si="15"/>
        <v>-0.65</v>
      </c>
      <c r="I88" s="5">
        <f t="shared" si="16"/>
        <v>0.52</v>
      </c>
      <c r="J88" s="6">
        <f t="shared" si="17"/>
        <v>-0.52</v>
      </c>
    </row>
    <row r="89" spans="1:10" x14ac:dyDescent="0.3">
      <c r="A89" s="2">
        <v>81</v>
      </c>
      <c r="B89" s="2">
        <f t="shared" si="9"/>
        <v>16.2</v>
      </c>
      <c r="C89" s="13">
        <f t="shared" si="10"/>
        <v>34.334118000000004</v>
      </c>
      <c r="D89" s="13">
        <f t="shared" si="11"/>
        <v>34334.118000000002</v>
      </c>
      <c r="E89" s="2">
        <f t="shared" si="12"/>
        <v>0.1048</v>
      </c>
      <c r="F89" s="2">
        <f t="shared" si="13"/>
        <v>-0.1048</v>
      </c>
      <c r="G89" s="4">
        <f t="shared" si="14"/>
        <v>0.64691358024691359</v>
      </c>
      <c r="H89" s="4">
        <f t="shared" si="15"/>
        <v>-0.64691358024691359</v>
      </c>
      <c r="I89" s="5">
        <f t="shared" si="16"/>
        <v>0.52400000000000002</v>
      </c>
      <c r="J89" s="6">
        <f t="shared" si="17"/>
        <v>-0.52400000000000002</v>
      </c>
    </row>
    <row r="90" spans="1:10" x14ac:dyDescent="0.3">
      <c r="A90" s="2">
        <v>82</v>
      </c>
      <c r="B90" s="2">
        <f t="shared" si="9"/>
        <v>16.399999999999999</v>
      </c>
      <c r="C90" s="13">
        <f t="shared" si="10"/>
        <v>34.757995999999999</v>
      </c>
      <c r="D90" s="13">
        <f t="shared" si="11"/>
        <v>34757.995999999999</v>
      </c>
      <c r="E90" s="2">
        <f t="shared" si="12"/>
        <v>0.1056</v>
      </c>
      <c r="F90" s="2">
        <f t="shared" si="13"/>
        <v>-0.1056</v>
      </c>
      <c r="G90" s="4">
        <f t="shared" si="14"/>
        <v>0.64390243902439026</v>
      </c>
      <c r="H90" s="4">
        <f t="shared" si="15"/>
        <v>-0.64390243902439026</v>
      </c>
      <c r="I90" s="5">
        <f t="shared" si="16"/>
        <v>0.52800000000000002</v>
      </c>
      <c r="J90" s="6">
        <f t="shared" si="17"/>
        <v>-0.52800000000000002</v>
      </c>
    </row>
    <row r="91" spans="1:10" x14ac:dyDescent="0.3">
      <c r="A91" s="2">
        <v>83</v>
      </c>
      <c r="B91" s="2">
        <f t="shared" si="9"/>
        <v>16.600000000000001</v>
      </c>
      <c r="C91" s="13">
        <f t="shared" si="10"/>
        <v>35.181874000000008</v>
      </c>
      <c r="D91" s="13">
        <f t="shared" si="11"/>
        <v>35181.874000000011</v>
      </c>
      <c r="E91" s="2">
        <f t="shared" si="12"/>
        <v>0.10639999999999999</v>
      </c>
      <c r="F91" s="2">
        <f t="shared" si="13"/>
        <v>-0.10639999999999999</v>
      </c>
      <c r="G91" s="4">
        <f t="shared" si="14"/>
        <v>0.64096385542168666</v>
      </c>
      <c r="H91" s="4">
        <f t="shared" si="15"/>
        <v>-0.64096385542168666</v>
      </c>
      <c r="I91" s="5">
        <f t="shared" si="16"/>
        <v>0.53200000000000003</v>
      </c>
      <c r="J91" s="6">
        <f t="shared" si="17"/>
        <v>-0.53200000000000003</v>
      </c>
    </row>
    <row r="92" spans="1:10" x14ac:dyDescent="0.3">
      <c r="A92" s="2">
        <v>84</v>
      </c>
      <c r="B92" s="2">
        <f t="shared" si="9"/>
        <v>16.8</v>
      </c>
      <c r="C92" s="13">
        <f t="shared" si="10"/>
        <v>35.605752000000003</v>
      </c>
      <c r="D92" s="13">
        <f t="shared" si="11"/>
        <v>35605.752</v>
      </c>
      <c r="E92" s="2">
        <f t="shared" si="12"/>
        <v>0.10720000000000002</v>
      </c>
      <c r="F92" s="2">
        <f t="shared" si="13"/>
        <v>-0.10720000000000002</v>
      </c>
      <c r="G92" s="4">
        <f t="shared" si="14"/>
        <v>0.63809523809523816</v>
      </c>
      <c r="H92" s="4">
        <f t="shared" si="15"/>
        <v>-0.63809523809523816</v>
      </c>
      <c r="I92" s="5">
        <f t="shared" si="16"/>
        <v>0.53600000000000014</v>
      </c>
      <c r="J92" s="6">
        <f t="shared" si="17"/>
        <v>-0.53600000000000014</v>
      </c>
    </row>
    <row r="93" spans="1:10" x14ac:dyDescent="0.3">
      <c r="A93" s="2">
        <v>85</v>
      </c>
      <c r="B93" s="2">
        <f t="shared" si="9"/>
        <v>17</v>
      </c>
      <c r="C93" s="13">
        <f t="shared" si="10"/>
        <v>36.029630000000004</v>
      </c>
      <c r="D93" s="13">
        <f t="shared" si="11"/>
        <v>36029.630000000005</v>
      </c>
      <c r="E93" s="2">
        <f t="shared" si="12"/>
        <v>0.10800000000000001</v>
      </c>
      <c r="F93" s="2">
        <f t="shared" si="13"/>
        <v>-0.10800000000000001</v>
      </c>
      <c r="G93" s="4">
        <f t="shared" si="14"/>
        <v>0.6352941176470589</v>
      </c>
      <c r="H93" s="4">
        <f t="shared" si="15"/>
        <v>-0.6352941176470589</v>
      </c>
      <c r="I93" s="5">
        <f t="shared" si="16"/>
        <v>0.54</v>
      </c>
      <c r="J93" s="6">
        <f t="shared" si="17"/>
        <v>-0.54</v>
      </c>
    </row>
    <row r="94" spans="1:10" x14ac:dyDescent="0.3">
      <c r="A94" s="2">
        <v>86</v>
      </c>
      <c r="B94" s="2">
        <f t="shared" si="9"/>
        <v>17.2</v>
      </c>
      <c r="C94" s="13">
        <f t="shared" si="10"/>
        <v>36.453507999999999</v>
      </c>
      <c r="D94" s="13">
        <f t="shared" si="11"/>
        <v>36453.508000000002</v>
      </c>
      <c r="E94" s="2">
        <f t="shared" si="12"/>
        <v>0.10880000000000001</v>
      </c>
      <c r="F94" s="2">
        <f t="shared" si="13"/>
        <v>-0.10880000000000001</v>
      </c>
      <c r="G94" s="4">
        <f>E94/B94*100</f>
        <v>0.63255813953488382</v>
      </c>
      <c r="H94" s="4">
        <f t="shared" si="15"/>
        <v>-0.63255813953488382</v>
      </c>
      <c r="I94" s="5">
        <f t="shared" si="16"/>
        <v>0.54400000000000004</v>
      </c>
      <c r="J94" s="6">
        <f t="shared" si="17"/>
        <v>-0.54400000000000004</v>
      </c>
    </row>
    <row r="95" spans="1:10" x14ac:dyDescent="0.3">
      <c r="A95" s="2">
        <v>87</v>
      </c>
      <c r="B95" s="2">
        <f t="shared" si="9"/>
        <v>17.399999999999999</v>
      </c>
      <c r="C95" s="13">
        <f t="shared" si="10"/>
        <v>36.877386000000001</v>
      </c>
      <c r="D95" s="13">
        <f t="shared" si="11"/>
        <v>36877.385999999999</v>
      </c>
      <c r="E95" s="2">
        <f t="shared" si="12"/>
        <v>0.1096</v>
      </c>
      <c r="F95" s="2">
        <f t="shared" si="13"/>
        <v>-0.1096</v>
      </c>
      <c r="G95" s="4">
        <f t="shared" si="14"/>
        <v>0.62988505747126444</v>
      </c>
      <c r="H95" s="4">
        <f t="shared" si="15"/>
        <v>-0.62988505747126444</v>
      </c>
      <c r="I95" s="5">
        <f t="shared" si="16"/>
        <v>0.54800000000000004</v>
      </c>
      <c r="J95" s="6">
        <f t="shared" si="17"/>
        <v>-0.54800000000000004</v>
      </c>
    </row>
    <row r="96" spans="1:10" x14ac:dyDescent="0.3">
      <c r="A96" s="2">
        <v>88</v>
      </c>
      <c r="B96" s="2">
        <f t="shared" si="9"/>
        <v>17.600000000000001</v>
      </c>
      <c r="C96" s="13">
        <f t="shared" si="10"/>
        <v>37.301264000000003</v>
      </c>
      <c r="D96" s="13">
        <f t="shared" si="11"/>
        <v>37301.264000000003</v>
      </c>
      <c r="E96" s="2">
        <f t="shared" si="12"/>
        <v>0.1104</v>
      </c>
      <c r="F96" s="2">
        <f t="shared" si="13"/>
        <v>-0.1104</v>
      </c>
      <c r="G96" s="4">
        <f t="shared" si="14"/>
        <v>0.6272727272727272</v>
      </c>
      <c r="H96" s="4">
        <f t="shared" si="15"/>
        <v>-0.6272727272727272</v>
      </c>
      <c r="I96" s="5">
        <f t="shared" si="16"/>
        <v>0.55199999999999994</v>
      </c>
      <c r="J96" s="6">
        <f t="shared" si="17"/>
        <v>-0.55199999999999994</v>
      </c>
    </row>
    <row r="97" spans="1:10" x14ac:dyDescent="0.3">
      <c r="A97" s="2">
        <v>89</v>
      </c>
      <c r="B97" s="2">
        <f t="shared" si="9"/>
        <v>17.8</v>
      </c>
      <c r="C97" s="13">
        <f t="shared" si="10"/>
        <v>37.725142000000005</v>
      </c>
      <c r="D97" s="13">
        <f t="shared" si="11"/>
        <v>37725.142000000007</v>
      </c>
      <c r="E97" s="2">
        <f t="shared" si="12"/>
        <v>0.11120000000000002</v>
      </c>
      <c r="F97" s="2">
        <f t="shared" si="13"/>
        <v>-0.11120000000000002</v>
      </c>
      <c r="G97" s="4">
        <f t="shared" si="14"/>
        <v>0.62471910112359552</v>
      </c>
      <c r="H97" s="4">
        <f t="shared" si="15"/>
        <v>-0.62471910112359552</v>
      </c>
      <c r="I97" s="5">
        <f t="shared" si="16"/>
        <v>0.55600000000000005</v>
      </c>
      <c r="J97" s="6">
        <f t="shared" si="17"/>
        <v>-0.55600000000000005</v>
      </c>
    </row>
    <row r="98" spans="1:10" x14ac:dyDescent="0.3">
      <c r="A98" s="2">
        <v>90</v>
      </c>
      <c r="B98" s="2">
        <f t="shared" si="9"/>
        <v>18</v>
      </c>
      <c r="C98" s="13">
        <f t="shared" si="10"/>
        <v>38.14902</v>
      </c>
      <c r="D98" s="13">
        <f t="shared" si="11"/>
        <v>38149.019999999997</v>
      </c>
      <c r="E98" s="2">
        <f t="shared" si="12"/>
        <v>0.11200000000000002</v>
      </c>
      <c r="F98" s="2">
        <f t="shared" si="13"/>
        <v>-0.11200000000000002</v>
      </c>
      <c r="G98" s="4">
        <f t="shared" si="14"/>
        <v>0.62222222222222223</v>
      </c>
      <c r="H98" s="4">
        <f t="shared" si="15"/>
        <v>-0.62222222222222223</v>
      </c>
      <c r="I98" s="5">
        <f t="shared" si="16"/>
        <v>0.56000000000000005</v>
      </c>
      <c r="J98" s="6">
        <f t="shared" si="17"/>
        <v>-0.56000000000000005</v>
      </c>
    </row>
    <row r="99" spans="1:10" x14ac:dyDescent="0.3">
      <c r="A99" s="2">
        <v>91</v>
      </c>
      <c r="B99" s="2">
        <f t="shared" si="9"/>
        <v>18.2</v>
      </c>
      <c r="C99" s="13">
        <f t="shared" si="10"/>
        <v>38.572898000000002</v>
      </c>
      <c r="D99" s="13">
        <f t="shared" si="11"/>
        <v>38572.898000000001</v>
      </c>
      <c r="E99" s="2">
        <f t="shared" si="12"/>
        <v>0.11280000000000001</v>
      </c>
      <c r="F99" s="2">
        <f t="shared" si="13"/>
        <v>-0.11280000000000001</v>
      </c>
      <c r="G99" s="4">
        <f t="shared" si="14"/>
        <v>0.61978021978021991</v>
      </c>
      <c r="H99" s="4">
        <f t="shared" si="15"/>
        <v>-0.61978021978021991</v>
      </c>
      <c r="I99" s="5">
        <f t="shared" si="16"/>
        <v>0.56400000000000006</v>
      </c>
      <c r="J99" s="6">
        <f t="shared" si="17"/>
        <v>-0.56400000000000006</v>
      </c>
    </row>
    <row r="100" spans="1:10" x14ac:dyDescent="0.3">
      <c r="A100" s="2">
        <v>92</v>
      </c>
      <c r="B100" s="2">
        <f t="shared" si="9"/>
        <v>18.399999999999999</v>
      </c>
      <c r="C100" s="13">
        <f t="shared" si="10"/>
        <v>38.996775999999997</v>
      </c>
      <c r="D100" s="13">
        <f t="shared" si="11"/>
        <v>38996.775999999998</v>
      </c>
      <c r="E100" s="2">
        <f t="shared" si="12"/>
        <v>0.11360000000000001</v>
      </c>
      <c r="F100" s="2">
        <f t="shared" si="13"/>
        <v>-0.11360000000000001</v>
      </c>
      <c r="G100" s="4">
        <f t="shared" si="14"/>
        <v>0.61739130434782619</v>
      </c>
      <c r="H100" s="4">
        <f t="shared" si="15"/>
        <v>-0.61739130434782619</v>
      </c>
      <c r="I100" s="5">
        <f t="shared" si="16"/>
        <v>0.56800000000000006</v>
      </c>
      <c r="J100" s="6">
        <f t="shared" si="17"/>
        <v>-0.56800000000000006</v>
      </c>
    </row>
    <row r="101" spans="1:10" x14ac:dyDescent="0.3">
      <c r="A101" s="2">
        <v>93</v>
      </c>
      <c r="B101" s="2">
        <f t="shared" si="9"/>
        <v>18.600000000000001</v>
      </c>
      <c r="C101" s="13">
        <f t="shared" si="10"/>
        <v>39.420654000000006</v>
      </c>
      <c r="D101" s="13">
        <f t="shared" si="11"/>
        <v>39420.65400000001</v>
      </c>
      <c r="E101" s="2">
        <f t="shared" si="12"/>
        <v>0.1144</v>
      </c>
      <c r="F101" s="2">
        <f t="shared" si="13"/>
        <v>-0.1144</v>
      </c>
      <c r="G101" s="4">
        <f>E101/B101*100</f>
        <v>0.61505376344086016</v>
      </c>
      <c r="H101" s="4">
        <f t="shared" si="15"/>
        <v>-0.61505376344086016</v>
      </c>
      <c r="I101" s="5">
        <f t="shared" si="16"/>
        <v>0.57200000000000006</v>
      </c>
      <c r="J101" s="6">
        <f t="shared" si="17"/>
        <v>-0.57200000000000006</v>
      </c>
    </row>
    <row r="102" spans="1:10" x14ac:dyDescent="0.3">
      <c r="A102" s="2">
        <v>94</v>
      </c>
      <c r="B102" s="2">
        <f t="shared" si="9"/>
        <v>18.8</v>
      </c>
      <c r="C102" s="13">
        <f t="shared" si="10"/>
        <v>39.844532000000001</v>
      </c>
      <c r="D102" s="13">
        <f t="shared" si="11"/>
        <v>39844.531999999999</v>
      </c>
      <c r="E102" s="2">
        <f t="shared" si="12"/>
        <v>0.1152</v>
      </c>
      <c r="F102" s="2">
        <f t="shared" si="13"/>
        <v>-0.1152</v>
      </c>
      <c r="G102" s="4">
        <f t="shared" si="14"/>
        <v>0.61276595744680851</v>
      </c>
      <c r="H102" s="4">
        <f t="shared" si="15"/>
        <v>-0.61276595744680851</v>
      </c>
      <c r="I102" s="5">
        <f t="shared" si="16"/>
        <v>0.57599999999999996</v>
      </c>
      <c r="J102" s="6">
        <f t="shared" si="17"/>
        <v>-0.57599999999999996</v>
      </c>
    </row>
    <row r="103" spans="1:10" x14ac:dyDescent="0.3">
      <c r="A103" s="2">
        <v>95</v>
      </c>
      <c r="B103" s="2">
        <f t="shared" si="9"/>
        <v>19</v>
      </c>
      <c r="C103" s="13">
        <f t="shared" si="10"/>
        <v>40.268410000000003</v>
      </c>
      <c r="D103" s="13">
        <f t="shared" si="11"/>
        <v>40268.410000000003</v>
      </c>
      <c r="E103" s="2">
        <f t="shared" si="12"/>
        <v>0.11600000000000002</v>
      </c>
      <c r="F103" s="2">
        <f t="shared" si="13"/>
        <v>-0.11600000000000002</v>
      </c>
      <c r="G103" s="4">
        <f t="shared" si="14"/>
        <v>0.61052631578947381</v>
      </c>
      <c r="H103" s="4">
        <f t="shared" si="15"/>
        <v>-0.61052631578947381</v>
      </c>
      <c r="I103" s="5">
        <f t="shared" si="16"/>
        <v>0.58000000000000018</v>
      </c>
      <c r="J103" s="6">
        <f t="shared" si="17"/>
        <v>-0.58000000000000018</v>
      </c>
    </row>
    <row r="104" spans="1:10" x14ac:dyDescent="0.3">
      <c r="A104" s="2">
        <v>96</v>
      </c>
      <c r="B104" s="2">
        <f t="shared" si="9"/>
        <v>19.2</v>
      </c>
      <c r="C104" s="13">
        <f t="shared" si="10"/>
        <v>40.692287999999998</v>
      </c>
      <c r="D104" s="13">
        <f t="shared" si="11"/>
        <v>40692.288</v>
      </c>
      <c r="E104" s="2">
        <f t="shared" si="12"/>
        <v>0.11679999999999999</v>
      </c>
      <c r="F104" s="2">
        <f t="shared" si="13"/>
        <v>-0.11679999999999999</v>
      </c>
      <c r="G104" s="4">
        <f t="shared" si="14"/>
        <v>0.60833333333333328</v>
      </c>
      <c r="H104" s="4">
        <f t="shared" si="15"/>
        <v>-0.60833333333333328</v>
      </c>
      <c r="I104" s="5">
        <f t="shared" si="16"/>
        <v>0.58399999999999996</v>
      </c>
      <c r="J104" s="6">
        <f t="shared" si="17"/>
        <v>-0.58399999999999996</v>
      </c>
    </row>
    <row r="105" spans="1:10" x14ac:dyDescent="0.3">
      <c r="A105" s="2">
        <v>97</v>
      </c>
      <c r="B105" s="2">
        <f t="shared" si="9"/>
        <v>19.399999999999999</v>
      </c>
      <c r="C105" s="13">
        <f t="shared" si="10"/>
        <v>41.116166</v>
      </c>
      <c r="D105" s="13">
        <f t="shared" si="11"/>
        <v>41116.165999999997</v>
      </c>
      <c r="E105" s="2">
        <f t="shared" si="12"/>
        <v>0.11760000000000001</v>
      </c>
      <c r="F105" s="2">
        <f t="shared" si="13"/>
        <v>-0.11760000000000001</v>
      </c>
      <c r="G105" s="4">
        <f t="shared" si="14"/>
        <v>0.60618556701030935</v>
      </c>
      <c r="H105" s="4">
        <f t="shared" si="15"/>
        <v>-0.60618556701030935</v>
      </c>
      <c r="I105" s="5">
        <f t="shared" si="16"/>
        <v>0.58800000000000008</v>
      </c>
      <c r="J105" s="6">
        <f t="shared" si="17"/>
        <v>-0.58800000000000008</v>
      </c>
    </row>
    <row r="106" spans="1:10" x14ac:dyDescent="0.3">
      <c r="A106" s="2">
        <v>98</v>
      </c>
      <c r="B106" s="2">
        <f t="shared" si="9"/>
        <v>19.600000000000001</v>
      </c>
      <c r="C106" s="13">
        <f t="shared" si="10"/>
        <v>41.540044000000002</v>
      </c>
      <c r="D106" s="13">
        <f t="shared" si="11"/>
        <v>41540.044000000002</v>
      </c>
      <c r="E106" s="2">
        <f t="shared" si="12"/>
        <v>0.11840000000000001</v>
      </c>
      <c r="F106" s="2">
        <f t="shared" si="13"/>
        <v>-0.11840000000000001</v>
      </c>
      <c r="G106" s="4">
        <f t="shared" si="14"/>
        <v>0.60408163265306114</v>
      </c>
      <c r="H106" s="4">
        <f t="shared" si="15"/>
        <v>-0.60408163265306114</v>
      </c>
      <c r="I106" s="5">
        <f t="shared" si="16"/>
        <v>0.59199999999999997</v>
      </c>
      <c r="J106" s="6">
        <f t="shared" si="17"/>
        <v>-0.59199999999999997</v>
      </c>
    </row>
    <row r="107" spans="1:10" x14ac:dyDescent="0.3">
      <c r="A107" s="2">
        <v>99</v>
      </c>
      <c r="B107" s="2">
        <f t="shared" si="9"/>
        <v>19.8</v>
      </c>
      <c r="C107" s="13">
        <f t="shared" si="10"/>
        <v>41.963922000000004</v>
      </c>
      <c r="D107" s="13">
        <f t="shared" si="11"/>
        <v>41963.922000000006</v>
      </c>
      <c r="E107" s="2">
        <f t="shared" si="12"/>
        <v>0.1192</v>
      </c>
      <c r="F107" s="2">
        <f t="shared" si="13"/>
        <v>-0.1192</v>
      </c>
      <c r="G107" s="4">
        <f t="shared" si="14"/>
        <v>0.60202020202020201</v>
      </c>
      <c r="H107" s="4">
        <f t="shared" si="15"/>
        <v>-0.60202020202020201</v>
      </c>
      <c r="I107" s="5">
        <f t="shared" si="16"/>
        <v>0.59599999999999997</v>
      </c>
      <c r="J107" s="6">
        <f t="shared" si="17"/>
        <v>-0.59599999999999997</v>
      </c>
    </row>
    <row r="108" spans="1:10" x14ac:dyDescent="0.3">
      <c r="A108" s="2">
        <v>100</v>
      </c>
      <c r="B108" s="2">
        <f t="shared" si="9"/>
        <v>20</v>
      </c>
      <c r="C108" s="13">
        <f t="shared" si="10"/>
        <v>42.387799999999999</v>
      </c>
      <c r="D108" s="13">
        <f t="shared" si="11"/>
        <v>42387.799999999996</v>
      </c>
      <c r="E108" s="2">
        <f t="shared" si="12"/>
        <v>0.12</v>
      </c>
      <c r="F108" s="2">
        <f t="shared" si="13"/>
        <v>-0.12</v>
      </c>
      <c r="G108" s="4">
        <f t="shared" si="14"/>
        <v>0.6</v>
      </c>
      <c r="H108" s="4">
        <f t="shared" si="15"/>
        <v>-0.6</v>
      </c>
      <c r="I108" s="5">
        <f t="shared" si="16"/>
        <v>0.6</v>
      </c>
      <c r="J108" s="6">
        <f t="shared" si="17"/>
        <v>-0.6</v>
      </c>
    </row>
  </sheetData>
  <mergeCells count="1">
    <mergeCell ref="I6:J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Sweatt, Corey (GE Appliances, Haier)</cp:lastModifiedBy>
  <dcterms:created xsi:type="dcterms:W3CDTF">2016-04-06T11:31:44Z</dcterms:created>
  <dcterms:modified xsi:type="dcterms:W3CDTF">2020-03-04T14:58:51Z</dcterms:modified>
</cp:coreProperties>
</file>